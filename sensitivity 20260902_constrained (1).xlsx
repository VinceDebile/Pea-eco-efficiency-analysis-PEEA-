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agresearchnz.sharepoint.com/teams/WP-PRJ0668469PlantBasedFoodIngredients-/Shared Documents/RA1.1 Modelling/Manuscripts for journal submission/Case study - Static framework/SC files - 2026-09-02/"/>
    </mc:Choice>
  </mc:AlternateContent>
  <xr:revisionPtr revIDLastSave="0" documentId="8_{E86956F3-1E80-423A-867F-92F6624DF589}" xr6:coauthVersionLast="47" xr6:coauthVersionMax="47" xr10:uidLastSave="{00000000-0000-0000-0000-000000000000}"/>
  <bookViews>
    <workbookView xWindow="-14505" yWindow="105" windowWidth="14610" windowHeight="15585" xr2:uid="{3C395D87-9B2D-49A6-8EF7-CC713ABBB47C}"/>
  </bookViews>
  <sheets>
    <sheet name="sensitivity 20260902_constrain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D31" i="1"/>
  <c r="C31" i="1"/>
  <c r="D30" i="1"/>
  <c r="C30" i="1"/>
  <c r="AX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D28" i="1"/>
  <c r="C28" i="1"/>
  <c r="AX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B27" i="1"/>
  <c r="AM31" i="1"/>
  <c r="AL31" i="1"/>
  <c r="AK31" i="1"/>
  <c r="AJ31" i="1"/>
  <c r="AI31" i="1"/>
  <c r="AH31" i="1"/>
  <c r="B26" i="1"/>
  <c r="AX31" i="1"/>
  <c r="AW31" i="1"/>
  <c r="AV31" i="1"/>
  <c r="AU31" i="1"/>
  <c r="AT31" i="1"/>
  <c r="AS31" i="1"/>
  <c r="AR31" i="1"/>
  <c r="AQ31" i="1"/>
  <c r="AP31" i="1"/>
  <c r="AO31" i="1"/>
  <c r="AN31" i="1"/>
  <c r="B25" i="1"/>
  <c r="R28" i="1"/>
  <c r="B24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B21" i="1" s="1"/>
  <c r="B18" i="1"/>
  <c r="B31" i="1" l="1"/>
  <c r="B30" i="1"/>
  <c r="B29" i="1"/>
  <c r="B28" i="1"/>
  <c r="AW30" i="1"/>
  <c r="AW29" i="1"/>
  <c r="AG31" i="1"/>
  <c r="AG30" i="1"/>
  <c r="AF30" i="1"/>
  <c r="AF31" i="1"/>
  <c r="AE30" i="1"/>
  <c r="AE31" i="1"/>
  <c r="AD30" i="1"/>
  <c r="AD31" i="1"/>
  <c r="AC31" i="1"/>
  <c r="AC30" i="1"/>
  <c r="AB30" i="1"/>
  <c r="AB31" i="1"/>
  <c r="AA31" i="1"/>
  <c r="AA30" i="1"/>
  <c r="Z30" i="1"/>
  <c r="Z31" i="1"/>
  <c r="Y31" i="1"/>
  <c r="Y30" i="1"/>
  <c r="X31" i="1"/>
  <c r="X30" i="1"/>
  <c r="W31" i="1"/>
  <c r="W30" i="1"/>
  <c r="V31" i="1"/>
  <c r="V30" i="1"/>
  <c r="U31" i="1"/>
  <c r="U30" i="1"/>
  <c r="T31" i="1"/>
  <c r="T30" i="1"/>
  <c r="S31" i="1"/>
  <c r="S30" i="1"/>
  <c r="R31" i="1"/>
  <c r="R30" i="1"/>
  <c r="Q28" i="1"/>
  <c r="Q30" i="1"/>
  <c r="Q31" i="1"/>
  <c r="P31" i="1"/>
  <c r="P30" i="1"/>
  <c r="P28" i="1"/>
  <c r="O28" i="1"/>
  <c r="O31" i="1"/>
  <c r="O30" i="1"/>
  <c r="N31" i="1"/>
  <c r="N28" i="1"/>
  <c r="N30" i="1"/>
  <c r="M28" i="1"/>
  <c r="M31" i="1"/>
  <c r="M30" i="1"/>
  <c r="L28" i="1"/>
  <c r="L30" i="1"/>
  <c r="L31" i="1"/>
  <c r="K31" i="1"/>
  <c r="K30" i="1"/>
  <c r="K28" i="1"/>
  <c r="J31" i="1"/>
  <c r="J28" i="1"/>
  <c r="J30" i="1"/>
  <c r="I31" i="1"/>
  <c r="I28" i="1"/>
  <c r="I30" i="1"/>
  <c r="H31" i="1"/>
  <c r="H28" i="1"/>
  <c r="H30" i="1"/>
  <c r="G31" i="1"/>
  <c r="G28" i="1"/>
  <c r="G30" i="1"/>
  <c r="F31" i="1"/>
  <c r="F28" i="1"/>
  <c r="F30" i="1"/>
  <c r="E31" i="1"/>
  <c r="E28" i="1"/>
  <c r="E30" i="1"/>
  <c r="B35" i="1" l="1"/>
  <c r="C35" i="1"/>
  <c r="D35" i="1" s="1"/>
  <c r="B37" i="1"/>
  <c r="C37" i="1"/>
  <c r="D37" i="1" s="1"/>
  <c r="C34" i="1"/>
  <c r="B34" i="1"/>
  <c r="B36" i="1"/>
  <c r="C36" i="1"/>
  <c r="D36" i="1" s="1"/>
  <c r="D34" i="1" l="1"/>
</calcChain>
</file>

<file path=xl/sharedStrings.xml><?xml version="1.0" encoding="utf-8"?>
<sst xmlns="http://schemas.openxmlformats.org/spreadsheetml/2006/main" count="86" uniqueCount="81">
  <si>
    <t>Variable</t>
  </si>
  <si>
    <t>Dry194.0_Wet181.8</t>
  </si>
  <si>
    <t>Dry194.0_Wet207.8</t>
  </si>
  <si>
    <t>Dry194.0_Wet233.7</t>
  </si>
  <si>
    <t>Dry194.0_Wet259.7</t>
  </si>
  <si>
    <t>Dry194.0_Wet285.7</t>
  </si>
  <si>
    <t>Dry194.0_Wet311.6</t>
  </si>
  <si>
    <t>Dry194.0_Wet337.6</t>
  </si>
  <si>
    <t>Dry221.8_Wet181.8</t>
  </si>
  <si>
    <t>Dry221.8_Wet207.8</t>
  </si>
  <si>
    <t>Dry221.8_Wet233.7</t>
  </si>
  <si>
    <t>Dry221.8_Wet259.7</t>
  </si>
  <si>
    <t>Dry221.8_Wet285.7</t>
  </si>
  <si>
    <t>Dry221.8_Wet311.6</t>
  </si>
  <si>
    <t>Dry221.8_Wet337.6</t>
  </si>
  <si>
    <t>Dry249.5_Wet181.8</t>
  </si>
  <si>
    <t>Dry249.5_Wet207.8</t>
  </si>
  <si>
    <t>Dry249.5_Wet233.7</t>
  </si>
  <si>
    <t>Dry249.5_Wet259.7</t>
  </si>
  <si>
    <t>Dry249.5_Wet285.7</t>
  </si>
  <si>
    <t>Dry249.5_Wet311.6</t>
  </si>
  <si>
    <t>Dry249.5_Wet337.6</t>
  </si>
  <si>
    <t>Dry277.2_Wet181.8</t>
  </si>
  <si>
    <t>Dry277.2_Wet207.8</t>
  </si>
  <si>
    <t>Dry277.2_Wet233.7</t>
  </si>
  <si>
    <t>Dry277.2_Wet259.7</t>
  </si>
  <si>
    <t>Dry277.2_Wet285.7</t>
  </si>
  <si>
    <t>Dry277.2_Wet311.6</t>
  </si>
  <si>
    <t>Dry277.2_Wet337.6</t>
  </si>
  <si>
    <t>Dry304.9_Wet181.8</t>
  </si>
  <si>
    <t>Dry304.9_Wet207.8</t>
  </si>
  <si>
    <t>Dry304.9_Wet233.7</t>
  </si>
  <si>
    <t>Dry304.9_Wet259.7</t>
  </si>
  <si>
    <t>Dry304.9_Wet285.7</t>
  </si>
  <si>
    <t>Dry304.9_Wet311.6</t>
  </si>
  <si>
    <t>Dry304.9_Wet337.6</t>
  </si>
  <si>
    <t>Dry332.6_Wet181.8</t>
  </si>
  <si>
    <t>Dry332.6_Wet207.8</t>
  </si>
  <si>
    <t>Dry332.6_Wet233.7</t>
  </si>
  <si>
    <t>Dry332.6_Wet259.7</t>
  </si>
  <si>
    <t>Dry332.6_Wet285.7</t>
  </si>
  <si>
    <t>Dry332.6_Wet311.6</t>
  </si>
  <si>
    <t>Dry332.6_Wet337.6</t>
  </si>
  <si>
    <t>Dry360.4_Wet181.8</t>
  </si>
  <si>
    <t>Dry360.4_Wet207.8</t>
  </si>
  <si>
    <t>Dry360.4_Wet233.7</t>
  </si>
  <si>
    <t>Dry360.4_Wet259.7</t>
  </si>
  <si>
    <t>Dry360.4_Wet285.7</t>
  </si>
  <si>
    <t>Dry360.4_Wet311.6</t>
  </si>
  <si>
    <t>Dry360.4_Wet337.6</t>
  </si>
  <si>
    <t>Food_food_one (L of 2%)</t>
  </si>
  <si>
    <t>Food_food_two (L of 3.3%)</t>
  </si>
  <si>
    <t>Method_dry (ton pea)</t>
  </si>
  <si>
    <t>Method_wet (ton pea)</t>
  </si>
  <si>
    <t>Peas_farm1 (ton pea)</t>
  </si>
  <si>
    <t>Peas_farm2 (ton pea)</t>
  </si>
  <si>
    <t>Peas_farm3 (ton pea)</t>
  </si>
  <si>
    <t>Peas_farm4 (ton pea)</t>
  </si>
  <si>
    <t>Use_('food_one',_'dry')</t>
  </si>
  <si>
    <t>Use_('food_one',_'wet')</t>
  </si>
  <si>
    <t>Use_('food_two',_'dry')</t>
  </si>
  <si>
    <t>Use_('food_two',_'wet')</t>
  </si>
  <si>
    <t>Obj func</t>
  </si>
  <si>
    <t>Starch_rev</t>
  </si>
  <si>
    <t>Hulls_rev</t>
  </si>
  <si>
    <t>Max cost</t>
  </si>
  <si>
    <t>Losses</t>
  </si>
  <si>
    <t>Count of losses</t>
  </si>
  <si>
    <t>Indicators</t>
  </si>
  <si>
    <t>Food1</t>
  </si>
  <si>
    <t>Food2</t>
  </si>
  <si>
    <t>Method1</t>
  </si>
  <si>
    <t>Method2</t>
  </si>
  <si>
    <t>1 F, 1 M</t>
  </si>
  <si>
    <t>2 F, 1 M</t>
  </si>
  <si>
    <t>1 F, 2 M</t>
  </si>
  <si>
    <t>2 F, 2 M</t>
  </si>
  <si>
    <t>Sums</t>
  </si>
  <si>
    <t>Count</t>
  </si>
  <si>
    <t>Sumprod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</si>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</sst>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679F2-EDBC-4DFE-82AC-88C6D57105CA}">
  <dimension ref="A1:AX37"/>
  <sheetViews>
    <sheetView tabSelected="1" workbookViewId="0">
      <selection activeCell="A2" sqref="A2"/>
    </sheetView>
  </sheetViews>
  <sheetFormatPr defaultRowHeight="15"/>
  <cols>
    <col min="1" max="1" width="23.85546875" customWidth="1"/>
    <col min="3" max="3" width="11" customWidth="1"/>
    <col min="4" max="4" width="10.7109375" customWidth="1"/>
  </cols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2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t="s">
        <v>50</v>
      </c>
      <c r="B2">
        <v>2808988.8</v>
      </c>
      <c r="C2">
        <v>2808988.8</v>
      </c>
      <c r="D2">
        <v>2808988.8</v>
      </c>
      <c r="E2">
        <v>2808988.8</v>
      </c>
      <c r="F2">
        <v>2808988.8</v>
      </c>
      <c r="G2" s="1">
        <v>-5.2321493000000004E-10</v>
      </c>
      <c r="H2" s="1">
        <v>-5.2321493000000004E-10</v>
      </c>
      <c r="I2">
        <v>2808988.8</v>
      </c>
      <c r="J2">
        <v>2808988.8</v>
      </c>
      <c r="K2">
        <v>2808988.8</v>
      </c>
      <c r="L2">
        <v>2808988.8</v>
      </c>
      <c r="M2">
        <v>2808988.8</v>
      </c>
      <c r="N2">
        <v>2808988.8</v>
      </c>
      <c r="O2" s="1">
        <v>-5.2321493000000004E-10</v>
      </c>
      <c r="P2">
        <v>2199953.5</v>
      </c>
      <c r="Q2">
        <v>2199953.5</v>
      </c>
      <c r="R2">
        <v>2199953.5</v>
      </c>
      <c r="S2">
        <v>2199953.5</v>
      </c>
      <c r="T2">
        <v>2199953.5</v>
      </c>
      <c r="U2">
        <v>2199953.5</v>
      </c>
      <c r="V2">
        <v>2199953.5</v>
      </c>
      <c r="W2">
        <v>1280369.8</v>
      </c>
      <c r="X2">
        <v>1280369.8</v>
      </c>
      <c r="Y2">
        <v>1280369.8</v>
      </c>
      <c r="Z2" s="2">
        <v>1280369.8</v>
      </c>
      <c r="AA2">
        <v>1280369.8</v>
      </c>
      <c r="AB2">
        <v>1280369.8</v>
      </c>
      <c r="AC2">
        <v>1280369.8</v>
      </c>
      <c r="AD2">
        <v>360786.12</v>
      </c>
      <c r="AE2">
        <v>360786.12</v>
      </c>
      <c r="AF2">
        <v>360786.12</v>
      </c>
      <c r="AG2">
        <v>360786.12</v>
      </c>
      <c r="AH2">
        <v>360786.12</v>
      </c>
      <c r="AI2">
        <v>360786.12</v>
      </c>
      <c r="AJ2">
        <v>360786.12</v>
      </c>
      <c r="AK2" s="1">
        <v>-5.2321493000000004E-10</v>
      </c>
      <c r="AL2" s="1">
        <v>-5.2321493000000004E-10</v>
      </c>
      <c r="AM2" s="1">
        <v>-5.2321493000000004E-10</v>
      </c>
      <c r="AN2" s="1">
        <v>-5.2321493000000004E-10</v>
      </c>
      <c r="AO2" s="1">
        <v>-5.2321493000000004E-10</v>
      </c>
      <c r="AP2" s="1">
        <v>-5.2321493000000004E-10</v>
      </c>
      <c r="AQ2" s="1">
        <v>-5.2321493000000004E-10</v>
      </c>
      <c r="AR2" s="1">
        <v>-5.2321493000000004E-10</v>
      </c>
      <c r="AS2" s="1">
        <v>-5.2321493000000004E-10</v>
      </c>
      <c r="AT2" s="1">
        <v>-5.2321493000000004E-10</v>
      </c>
      <c r="AU2" s="1">
        <v>-5.2321493000000004E-10</v>
      </c>
      <c r="AV2" s="1">
        <v>-5.2321493000000004E-10</v>
      </c>
      <c r="AW2" s="1">
        <v>-5.2321493000000004E-10</v>
      </c>
      <c r="AX2" s="1">
        <v>-5.2321493000000004E-10</v>
      </c>
    </row>
    <row r="3" spans="1:50">
      <c r="A3" t="s">
        <v>51</v>
      </c>
      <c r="B3">
        <v>0</v>
      </c>
      <c r="C3" s="1">
        <v>1.9276211E-10</v>
      </c>
      <c r="D3" s="1">
        <v>3.8552423E-10</v>
      </c>
      <c r="E3">
        <v>0</v>
      </c>
      <c r="F3">
        <v>0</v>
      </c>
      <c r="G3">
        <v>2325581.4</v>
      </c>
      <c r="H3">
        <v>2325581.4</v>
      </c>
      <c r="I3">
        <v>0</v>
      </c>
      <c r="J3" s="1">
        <v>4.8190528999999995E-10</v>
      </c>
      <c r="K3" s="1">
        <v>-1.9276211E-10</v>
      </c>
      <c r="L3" s="1">
        <v>-9.6381057000000004E-11</v>
      </c>
      <c r="M3" s="1">
        <v>1.4457159E-10</v>
      </c>
      <c r="N3" s="1">
        <v>-1.9276211E-10</v>
      </c>
      <c r="O3">
        <v>2325581.4</v>
      </c>
      <c r="P3">
        <v>504224.55</v>
      </c>
      <c r="Q3">
        <v>504224.55</v>
      </c>
      <c r="R3">
        <v>504224.55</v>
      </c>
      <c r="S3">
        <v>504224.55</v>
      </c>
      <c r="T3">
        <v>504224.55</v>
      </c>
      <c r="U3">
        <v>504224.55</v>
      </c>
      <c r="V3">
        <v>504224.55</v>
      </c>
      <c r="W3">
        <v>1265554.3</v>
      </c>
      <c r="X3">
        <v>1265554.3</v>
      </c>
      <c r="Y3">
        <v>1265554.3</v>
      </c>
      <c r="Z3" s="2">
        <v>1265554.3</v>
      </c>
      <c r="AA3">
        <v>1265554.3</v>
      </c>
      <c r="AB3">
        <v>1265554.3</v>
      </c>
      <c r="AC3">
        <v>1265554.3</v>
      </c>
      <c r="AD3">
        <v>2026884</v>
      </c>
      <c r="AE3">
        <v>2026884</v>
      </c>
      <c r="AF3">
        <v>2026884</v>
      </c>
      <c r="AG3">
        <v>2026884</v>
      </c>
      <c r="AH3">
        <v>2026884</v>
      </c>
      <c r="AI3">
        <v>2026884</v>
      </c>
      <c r="AJ3">
        <v>2026884</v>
      </c>
      <c r="AK3">
        <v>2325581.4</v>
      </c>
      <c r="AL3">
        <v>2325581.4</v>
      </c>
      <c r="AM3">
        <v>2325581.4</v>
      </c>
      <c r="AN3">
        <v>2325581.4</v>
      </c>
      <c r="AO3">
        <v>2325581.4</v>
      </c>
      <c r="AP3">
        <v>2325581.4</v>
      </c>
      <c r="AQ3">
        <v>2325581.4</v>
      </c>
      <c r="AR3">
        <v>2325581.4</v>
      </c>
      <c r="AS3">
        <v>2325581.4</v>
      </c>
      <c r="AT3">
        <v>2325581.4</v>
      </c>
      <c r="AU3">
        <v>2325581.4</v>
      </c>
      <c r="AV3">
        <v>2325581.4</v>
      </c>
      <c r="AW3">
        <v>2325581.4</v>
      </c>
      <c r="AX3">
        <v>2325581.4</v>
      </c>
    </row>
    <row r="4" spans="1:50">
      <c r="A4" t="s">
        <v>52</v>
      </c>
      <c r="B4">
        <v>111.5761</v>
      </c>
      <c r="C4">
        <v>330.36106000000001</v>
      </c>
      <c r="D4">
        <v>417.26600999999999</v>
      </c>
      <c r="E4">
        <v>464.19511</v>
      </c>
      <c r="F4">
        <v>493.48171000000002</v>
      </c>
      <c r="G4">
        <v>270.75213000000002</v>
      </c>
      <c r="H4">
        <v>318.48863</v>
      </c>
      <c r="I4">
        <v>288.74005</v>
      </c>
      <c r="J4">
        <v>507.88988999999998</v>
      </c>
      <c r="K4">
        <v>552.4239</v>
      </c>
      <c r="L4">
        <v>571.68885</v>
      </c>
      <c r="M4">
        <v>582.40626999999995</v>
      </c>
      <c r="N4">
        <v>589.21041000000002</v>
      </c>
      <c r="O4">
        <v>358.2654</v>
      </c>
      <c r="P4">
        <v>620</v>
      </c>
      <c r="Q4">
        <v>620</v>
      </c>
      <c r="R4">
        <v>620</v>
      </c>
      <c r="S4">
        <v>620</v>
      </c>
      <c r="T4">
        <v>620</v>
      </c>
      <c r="U4">
        <v>620</v>
      </c>
      <c r="V4">
        <v>620</v>
      </c>
      <c r="W4">
        <v>620</v>
      </c>
      <c r="X4">
        <v>620</v>
      </c>
      <c r="Y4">
        <v>620</v>
      </c>
      <c r="Z4" s="2">
        <v>620</v>
      </c>
      <c r="AA4">
        <v>620</v>
      </c>
      <c r="AB4">
        <v>620</v>
      </c>
      <c r="AC4">
        <v>620</v>
      </c>
      <c r="AD4">
        <v>620</v>
      </c>
      <c r="AE4">
        <v>620</v>
      </c>
      <c r="AF4">
        <v>620</v>
      </c>
      <c r="AG4">
        <v>620</v>
      </c>
      <c r="AH4">
        <v>620</v>
      </c>
      <c r="AI4">
        <v>620</v>
      </c>
      <c r="AJ4">
        <v>620</v>
      </c>
      <c r="AK4">
        <v>588.62292000000002</v>
      </c>
      <c r="AL4">
        <v>588.62292000000002</v>
      </c>
      <c r="AM4">
        <v>588.62292000000002</v>
      </c>
      <c r="AN4">
        <v>588.62292000000002</v>
      </c>
      <c r="AO4">
        <v>588.62292000000002</v>
      </c>
      <c r="AP4">
        <v>588.62292000000002</v>
      </c>
      <c r="AQ4">
        <v>588.62292000000002</v>
      </c>
      <c r="AR4">
        <v>543.21860000000004</v>
      </c>
      <c r="AS4">
        <v>543.21860000000004</v>
      </c>
      <c r="AT4">
        <v>543.21860000000004</v>
      </c>
      <c r="AU4">
        <v>543.21860000000004</v>
      </c>
      <c r="AV4">
        <v>543.21860000000004</v>
      </c>
      <c r="AW4">
        <v>543.21860000000004</v>
      </c>
      <c r="AX4">
        <v>543.21860000000004</v>
      </c>
    </row>
    <row r="5" spans="1:50">
      <c r="A5" t="s">
        <v>53</v>
      </c>
      <c r="B5">
        <v>508.4239</v>
      </c>
      <c r="C5">
        <v>289.63893999999999</v>
      </c>
      <c r="D5">
        <v>202.73399000000001</v>
      </c>
      <c r="E5">
        <v>155.80489</v>
      </c>
      <c r="F5">
        <v>126.51828999999999</v>
      </c>
      <c r="G5">
        <v>349.24786999999998</v>
      </c>
      <c r="H5">
        <v>301.51137</v>
      </c>
      <c r="I5">
        <v>331.25995</v>
      </c>
      <c r="J5">
        <v>112.11011000000001</v>
      </c>
      <c r="K5">
        <v>67.576099999999997</v>
      </c>
      <c r="L5">
        <v>48.311148000000003</v>
      </c>
      <c r="M5">
        <v>37.593727999999999</v>
      </c>
      <c r="N5">
        <v>30.789588999999999</v>
      </c>
      <c r="O5">
        <v>261.7346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s="2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 t="s">
        <v>54</v>
      </c>
      <c r="B6">
        <v>140</v>
      </c>
      <c r="C6">
        <v>140</v>
      </c>
      <c r="D6">
        <v>140</v>
      </c>
      <c r="E6">
        <v>140</v>
      </c>
      <c r="F6">
        <v>140</v>
      </c>
      <c r="G6">
        <v>140</v>
      </c>
      <c r="H6">
        <v>140</v>
      </c>
      <c r="I6">
        <v>140</v>
      </c>
      <c r="J6">
        <v>140</v>
      </c>
      <c r="K6">
        <v>140</v>
      </c>
      <c r="L6">
        <v>140</v>
      </c>
      <c r="M6">
        <v>140</v>
      </c>
      <c r="N6">
        <v>140</v>
      </c>
      <c r="O6">
        <v>140</v>
      </c>
      <c r="P6">
        <v>140</v>
      </c>
      <c r="Q6">
        <v>140</v>
      </c>
      <c r="R6">
        <v>140</v>
      </c>
      <c r="S6">
        <v>140</v>
      </c>
      <c r="T6">
        <v>140</v>
      </c>
      <c r="U6">
        <v>140</v>
      </c>
      <c r="V6">
        <v>140</v>
      </c>
      <c r="W6">
        <v>140</v>
      </c>
      <c r="X6">
        <v>140</v>
      </c>
      <c r="Y6">
        <v>140</v>
      </c>
      <c r="Z6" s="2">
        <v>140</v>
      </c>
      <c r="AA6">
        <v>140</v>
      </c>
      <c r="AB6">
        <v>140</v>
      </c>
      <c r="AC6">
        <v>140</v>
      </c>
      <c r="AD6">
        <v>140</v>
      </c>
      <c r="AE6">
        <v>140</v>
      </c>
      <c r="AF6">
        <v>140</v>
      </c>
      <c r="AG6">
        <v>140</v>
      </c>
      <c r="AH6">
        <v>140</v>
      </c>
      <c r="AI6">
        <v>140</v>
      </c>
      <c r="AJ6">
        <v>140</v>
      </c>
      <c r="AK6">
        <v>140</v>
      </c>
      <c r="AL6">
        <v>140</v>
      </c>
      <c r="AM6">
        <v>140</v>
      </c>
      <c r="AN6">
        <v>140</v>
      </c>
      <c r="AO6">
        <v>140</v>
      </c>
      <c r="AP6">
        <v>140</v>
      </c>
      <c r="AQ6">
        <v>140</v>
      </c>
      <c r="AR6">
        <v>140</v>
      </c>
      <c r="AS6">
        <v>140</v>
      </c>
      <c r="AT6">
        <v>140</v>
      </c>
      <c r="AU6">
        <v>140</v>
      </c>
      <c r="AV6">
        <v>140</v>
      </c>
      <c r="AW6">
        <v>140</v>
      </c>
      <c r="AX6">
        <v>140</v>
      </c>
    </row>
    <row r="7" spans="1:50">
      <c r="A7" t="s">
        <v>55</v>
      </c>
      <c r="B7">
        <v>110</v>
      </c>
      <c r="C7">
        <v>110</v>
      </c>
      <c r="D7">
        <v>110</v>
      </c>
      <c r="E7">
        <v>110</v>
      </c>
      <c r="F7">
        <v>110</v>
      </c>
      <c r="G7">
        <v>110</v>
      </c>
      <c r="H7">
        <v>110</v>
      </c>
      <c r="I7">
        <v>110</v>
      </c>
      <c r="J7">
        <v>110</v>
      </c>
      <c r="K7">
        <v>110</v>
      </c>
      <c r="L7">
        <v>110</v>
      </c>
      <c r="M7">
        <v>110</v>
      </c>
      <c r="N7">
        <v>110</v>
      </c>
      <c r="O7">
        <v>110</v>
      </c>
      <c r="P7">
        <v>110</v>
      </c>
      <c r="Q7">
        <v>110</v>
      </c>
      <c r="R7">
        <v>110</v>
      </c>
      <c r="S7">
        <v>110</v>
      </c>
      <c r="T7">
        <v>110</v>
      </c>
      <c r="U7">
        <v>110</v>
      </c>
      <c r="V7">
        <v>110</v>
      </c>
      <c r="W7">
        <v>110</v>
      </c>
      <c r="X7">
        <v>110</v>
      </c>
      <c r="Y7">
        <v>110</v>
      </c>
      <c r="Z7" s="2">
        <v>110</v>
      </c>
      <c r="AA7">
        <v>110</v>
      </c>
      <c r="AB7">
        <v>110</v>
      </c>
      <c r="AC7">
        <v>110</v>
      </c>
      <c r="AD7">
        <v>110</v>
      </c>
      <c r="AE7">
        <v>110</v>
      </c>
      <c r="AF7">
        <v>110</v>
      </c>
      <c r="AG7">
        <v>110</v>
      </c>
      <c r="AH7">
        <v>110</v>
      </c>
      <c r="AI7">
        <v>110</v>
      </c>
      <c r="AJ7">
        <v>110</v>
      </c>
      <c r="AK7">
        <v>110</v>
      </c>
      <c r="AL7">
        <v>110</v>
      </c>
      <c r="AM7">
        <v>110</v>
      </c>
      <c r="AN7">
        <v>110</v>
      </c>
      <c r="AO7">
        <v>110</v>
      </c>
      <c r="AP7">
        <v>110</v>
      </c>
      <c r="AQ7">
        <v>110</v>
      </c>
      <c r="AR7">
        <v>110</v>
      </c>
      <c r="AS7">
        <v>110</v>
      </c>
      <c r="AT7">
        <v>110</v>
      </c>
      <c r="AU7">
        <v>110</v>
      </c>
      <c r="AV7">
        <v>110</v>
      </c>
      <c r="AW7">
        <v>110</v>
      </c>
      <c r="AX7">
        <v>110</v>
      </c>
    </row>
    <row r="8" spans="1:50">
      <c r="A8" t="s">
        <v>56</v>
      </c>
      <c r="B8">
        <v>170</v>
      </c>
      <c r="C8">
        <v>170</v>
      </c>
      <c r="D8">
        <v>170</v>
      </c>
      <c r="E8">
        <v>170</v>
      </c>
      <c r="F8">
        <v>170</v>
      </c>
      <c r="G8">
        <v>170</v>
      </c>
      <c r="H8">
        <v>170</v>
      </c>
      <c r="I8">
        <v>170</v>
      </c>
      <c r="J8">
        <v>170</v>
      </c>
      <c r="K8">
        <v>170</v>
      </c>
      <c r="L8">
        <v>170</v>
      </c>
      <c r="M8">
        <v>170</v>
      </c>
      <c r="N8">
        <v>170</v>
      </c>
      <c r="O8">
        <v>170</v>
      </c>
      <c r="P8">
        <v>170</v>
      </c>
      <c r="Q8">
        <v>170</v>
      </c>
      <c r="R8">
        <v>170</v>
      </c>
      <c r="S8">
        <v>170</v>
      </c>
      <c r="T8">
        <v>170</v>
      </c>
      <c r="U8">
        <v>170</v>
      </c>
      <c r="V8">
        <v>170</v>
      </c>
      <c r="W8">
        <v>170</v>
      </c>
      <c r="X8">
        <v>170</v>
      </c>
      <c r="Y8">
        <v>170</v>
      </c>
      <c r="Z8" s="2">
        <v>170</v>
      </c>
      <c r="AA8">
        <v>170</v>
      </c>
      <c r="AB8">
        <v>170</v>
      </c>
      <c r="AC8">
        <v>170</v>
      </c>
      <c r="AD8">
        <v>170</v>
      </c>
      <c r="AE8">
        <v>170</v>
      </c>
      <c r="AF8">
        <v>170</v>
      </c>
      <c r="AG8">
        <v>170</v>
      </c>
      <c r="AH8">
        <v>170</v>
      </c>
      <c r="AI8">
        <v>170</v>
      </c>
      <c r="AJ8">
        <v>170</v>
      </c>
      <c r="AK8">
        <v>138.62291999999999</v>
      </c>
      <c r="AL8">
        <v>138.62291999999999</v>
      </c>
      <c r="AM8">
        <v>138.62291999999999</v>
      </c>
      <c r="AN8">
        <v>138.62291999999999</v>
      </c>
      <c r="AO8">
        <v>138.62291999999999</v>
      </c>
      <c r="AP8">
        <v>138.62291999999999</v>
      </c>
      <c r="AQ8">
        <v>138.62291999999999</v>
      </c>
      <c r="AR8">
        <v>93.218603999999999</v>
      </c>
      <c r="AS8">
        <v>93.218603999999999</v>
      </c>
      <c r="AT8">
        <v>93.218603999999999</v>
      </c>
      <c r="AU8">
        <v>93.218603999999999</v>
      </c>
      <c r="AV8">
        <v>93.218603999999999</v>
      </c>
      <c r="AW8">
        <v>93.218603999999999</v>
      </c>
      <c r="AX8">
        <v>93.218603999999999</v>
      </c>
    </row>
    <row r="9" spans="1:50">
      <c r="A9" t="s">
        <v>57</v>
      </c>
      <c r="B9">
        <v>200</v>
      </c>
      <c r="C9">
        <v>200</v>
      </c>
      <c r="D9">
        <v>200</v>
      </c>
      <c r="E9">
        <v>200</v>
      </c>
      <c r="F9">
        <v>200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200</v>
      </c>
      <c r="O9">
        <v>200</v>
      </c>
      <c r="P9">
        <v>200</v>
      </c>
      <c r="Q9">
        <v>200</v>
      </c>
      <c r="R9">
        <v>200</v>
      </c>
      <c r="S9">
        <v>200</v>
      </c>
      <c r="T9">
        <v>200</v>
      </c>
      <c r="U9">
        <v>200</v>
      </c>
      <c r="V9">
        <v>200</v>
      </c>
      <c r="W9">
        <v>200</v>
      </c>
      <c r="X9">
        <v>200</v>
      </c>
      <c r="Y9">
        <v>200</v>
      </c>
      <c r="Z9" s="2">
        <v>200</v>
      </c>
      <c r="AA9">
        <v>200</v>
      </c>
      <c r="AB9">
        <v>200</v>
      </c>
      <c r="AC9">
        <v>200</v>
      </c>
      <c r="AD9">
        <v>200</v>
      </c>
      <c r="AE9">
        <v>200</v>
      </c>
      <c r="AF9">
        <v>200</v>
      </c>
      <c r="AG9">
        <v>200</v>
      </c>
      <c r="AH9">
        <v>200</v>
      </c>
      <c r="AI9">
        <v>200</v>
      </c>
      <c r="AJ9">
        <v>200</v>
      </c>
      <c r="AK9">
        <v>200</v>
      </c>
      <c r="AL9">
        <v>200</v>
      </c>
      <c r="AM9">
        <v>200</v>
      </c>
      <c r="AN9">
        <v>200</v>
      </c>
      <c r="AO9">
        <v>200</v>
      </c>
      <c r="AP9">
        <v>200</v>
      </c>
      <c r="AQ9">
        <v>200</v>
      </c>
      <c r="AR9">
        <v>200</v>
      </c>
      <c r="AS9">
        <v>200</v>
      </c>
      <c r="AT9">
        <v>200</v>
      </c>
      <c r="AU9">
        <v>200</v>
      </c>
      <c r="AV9">
        <v>200</v>
      </c>
      <c r="AW9">
        <v>200</v>
      </c>
      <c r="AX9">
        <v>200</v>
      </c>
    </row>
    <row r="10" spans="1:50">
      <c r="A10" t="s">
        <v>58</v>
      </c>
      <c r="B10">
        <v>424256.95</v>
      </c>
      <c r="C10">
        <v>1256164.8999999999</v>
      </c>
      <c r="D10">
        <v>1586612.3</v>
      </c>
      <c r="E10">
        <v>1765055.5</v>
      </c>
      <c r="F10">
        <v>1876414.9</v>
      </c>
      <c r="G10">
        <v>0</v>
      </c>
      <c r="H10">
        <v>0</v>
      </c>
      <c r="I10">
        <v>1255233.8</v>
      </c>
      <c r="J10">
        <v>2207939.6</v>
      </c>
      <c r="K10">
        <v>2401541.4</v>
      </c>
      <c r="L10">
        <v>2485291.5</v>
      </c>
      <c r="M10">
        <v>2531883.1</v>
      </c>
      <c r="N10">
        <v>2561462.6</v>
      </c>
      <c r="O10">
        <v>0</v>
      </c>
      <c r="P10">
        <v>2199953.5</v>
      </c>
      <c r="Q10">
        <v>2199953.5</v>
      </c>
      <c r="R10">
        <v>2199953.5</v>
      </c>
      <c r="S10">
        <v>2199953.5</v>
      </c>
      <c r="T10">
        <v>2199953.5</v>
      </c>
      <c r="U10">
        <v>2199953.5</v>
      </c>
      <c r="V10">
        <v>2199953.5</v>
      </c>
      <c r="W10">
        <v>1280369.8</v>
      </c>
      <c r="X10">
        <v>1280369.8</v>
      </c>
      <c r="Y10">
        <v>1280369.8</v>
      </c>
      <c r="Z10" s="2">
        <v>1280369.8</v>
      </c>
      <c r="AA10">
        <v>1280369.8</v>
      </c>
      <c r="AB10">
        <v>1280369.8</v>
      </c>
      <c r="AC10">
        <v>1280369.8</v>
      </c>
      <c r="AD10">
        <v>360786.12</v>
      </c>
      <c r="AE10">
        <v>360786.12</v>
      </c>
      <c r="AF10">
        <v>360786.12</v>
      </c>
      <c r="AG10">
        <v>360786.12</v>
      </c>
      <c r="AH10">
        <v>360786.12</v>
      </c>
      <c r="AI10">
        <v>360786.12</v>
      </c>
      <c r="AJ10">
        <v>360786.12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 t="s">
        <v>59</v>
      </c>
      <c r="B11">
        <v>2384731.7999999998</v>
      </c>
      <c r="C11">
        <v>1552823.9</v>
      </c>
      <c r="D11">
        <v>1222376.5</v>
      </c>
      <c r="E11">
        <v>1043933.3</v>
      </c>
      <c r="F11">
        <v>932573.91</v>
      </c>
      <c r="G11">
        <v>0</v>
      </c>
      <c r="H11">
        <v>0</v>
      </c>
      <c r="I11">
        <v>1553754.9</v>
      </c>
      <c r="J11">
        <v>601049.18999999994</v>
      </c>
      <c r="K11">
        <v>407447.39</v>
      </c>
      <c r="L11">
        <v>323697.25</v>
      </c>
      <c r="M11">
        <v>277105.63</v>
      </c>
      <c r="N11">
        <v>247526.13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s="2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 t="s">
        <v>60</v>
      </c>
      <c r="B12">
        <v>0</v>
      </c>
      <c r="C12">
        <v>0</v>
      </c>
      <c r="D12">
        <v>0</v>
      </c>
      <c r="E12">
        <v>0</v>
      </c>
      <c r="F12">
        <v>0</v>
      </c>
      <c r="G12">
        <v>623944.18999999994</v>
      </c>
      <c r="H12">
        <v>733952.23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943927.28</v>
      </c>
      <c r="P12">
        <v>504224.55</v>
      </c>
      <c r="Q12">
        <v>504224.55</v>
      </c>
      <c r="R12">
        <v>504224.55</v>
      </c>
      <c r="S12">
        <v>504224.55</v>
      </c>
      <c r="T12">
        <v>504224.55</v>
      </c>
      <c r="U12">
        <v>504224.55</v>
      </c>
      <c r="V12">
        <v>504224.55</v>
      </c>
      <c r="W12">
        <v>1265554.3</v>
      </c>
      <c r="X12">
        <v>1265554.3</v>
      </c>
      <c r="Y12">
        <v>1265554.3</v>
      </c>
      <c r="Z12" s="2">
        <v>1265554.3</v>
      </c>
      <c r="AA12">
        <v>1265554.3</v>
      </c>
      <c r="AB12">
        <v>1265554.3</v>
      </c>
      <c r="AC12">
        <v>1265554.3</v>
      </c>
      <c r="AD12">
        <v>2026884</v>
      </c>
      <c r="AE12">
        <v>2026884</v>
      </c>
      <c r="AF12">
        <v>2026884</v>
      </c>
      <c r="AG12">
        <v>2026884</v>
      </c>
      <c r="AH12">
        <v>2026884</v>
      </c>
      <c r="AI12">
        <v>2026884</v>
      </c>
      <c r="AJ12">
        <v>2026884</v>
      </c>
      <c r="AK12">
        <v>2325581.4</v>
      </c>
      <c r="AL12">
        <v>2325581.4</v>
      </c>
      <c r="AM12">
        <v>2325581.4</v>
      </c>
      <c r="AN12">
        <v>2325581.4</v>
      </c>
      <c r="AO12">
        <v>2325581.4</v>
      </c>
      <c r="AP12">
        <v>2325581.4</v>
      </c>
      <c r="AQ12">
        <v>2325581.4</v>
      </c>
      <c r="AR12">
        <v>2325581.4</v>
      </c>
      <c r="AS12">
        <v>2325581.4</v>
      </c>
      <c r="AT12">
        <v>2325581.4</v>
      </c>
      <c r="AU12">
        <v>2325581.4</v>
      </c>
      <c r="AV12">
        <v>2325581.4</v>
      </c>
      <c r="AW12">
        <v>2325581.4</v>
      </c>
      <c r="AX12">
        <v>2325581.4</v>
      </c>
    </row>
    <row r="13" spans="1:50">
      <c r="A13" t="s">
        <v>61</v>
      </c>
      <c r="B13">
        <v>0</v>
      </c>
      <c r="C13">
        <v>0</v>
      </c>
      <c r="D13">
        <v>0</v>
      </c>
      <c r="E13">
        <v>0</v>
      </c>
      <c r="F13">
        <v>0</v>
      </c>
      <c r="G13">
        <v>1701637.2</v>
      </c>
      <c r="H13">
        <v>1591629.2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1381654.1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s="2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 t="s">
        <v>62</v>
      </c>
      <c r="B14">
        <v>11391195.4461494</v>
      </c>
      <c r="C14">
        <v>10773956.7335846</v>
      </c>
      <c r="D14">
        <v>10528779.4624709</v>
      </c>
      <c r="E14">
        <v>10396382.5314121</v>
      </c>
      <c r="F14">
        <v>10313758.8296759</v>
      </c>
      <c r="G14">
        <v>10246019.440762799</v>
      </c>
      <c r="H14">
        <v>10111344.663290201</v>
      </c>
      <c r="I14">
        <v>10891378.4184574</v>
      </c>
      <c r="J14">
        <v>10273110.302128101</v>
      </c>
      <c r="K14">
        <v>10147470.427258501</v>
      </c>
      <c r="L14">
        <v>10093119.916451599</v>
      </c>
      <c r="M14">
        <v>10062883.804596299</v>
      </c>
      <c r="N14">
        <v>10043687.8876782</v>
      </c>
      <c r="O14">
        <v>9999125.9700821508</v>
      </c>
      <c r="P14">
        <v>9805896.4045000002</v>
      </c>
      <c r="Q14">
        <v>9805896.4045000002</v>
      </c>
      <c r="R14">
        <v>9805896.4045000002</v>
      </c>
      <c r="S14">
        <v>9805896.4045000002</v>
      </c>
      <c r="T14">
        <v>9805896.4045000002</v>
      </c>
      <c r="U14">
        <v>9805896.4045000002</v>
      </c>
      <c r="V14">
        <v>9805896.4045000002</v>
      </c>
      <c r="W14">
        <v>9578010.693</v>
      </c>
      <c r="X14">
        <v>9578010.693</v>
      </c>
      <c r="Y14">
        <v>9578010.693</v>
      </c>
      <c r="Z14" s="2">
        <v>9578010.693</v>
      </c>
      <c r="AA14">
        <v>9578010.693</v>
      </c>
      <c r="AB14">
        <v>9578010.693</v>
      </c>
      <c r="AC14">
        <v>9578010.693</v>
      </c>
      <c r="AD14">
        <v>9350124.8663999997</v>
      </c>
      <c r="AE14">
        <v>9350124.8663999997</v>
      </c>
      <c r="AF14">
        <v>9350124.8663999997</v>
      </c>
      <c r="AG14">
        <v>9350124.8663999997</v>
      </c>
      <c r="AH14">
        <v>9350124.8663999997</v>
      </c>
      <c r="AI14">
        <v>9350124.8663999997</v>
      </c>
      <c r="AJ14">
        <v>9350124.8663999997</v>
      </c>
      <c r="AK14">
        <v>9211863.11243999</v>
      </c>
      <c r="AL14">
        <v>9211863.11243999</v>
      </c>
      <c r="AM14">
        <v>9211863.11243999</v>
      </c>
      <c r="AN14">
        <v>9211863.11243999</v>
      </c>
      <c r="AO14">
        <v>9211863.11243999</v>
      </c>
      <c r="AP14">
        <v>9211863.11243999</v>
      </c>
      <c r="AQ14">
        <v>9211863.11243999</v>
      </c>
      <c r="AR14">
        <v>9141168.5909399893</v>
      </c>
      <c r="AS14">
        <v>9141168.5909399893</v>
      </c>
      <c r="AT14">
        <v>9141168.5909399893</v>
      </c>
      <c r="AU14">
        <v>9141168.5909399893</v>
      </c>
      <c r="AV14">
        <v>9141168.5909399893</v>
      </c>
      <c r="AW14">
        <v>9141168.5909399893</v>
      </c>
      <c r="AX14">
        <v>9141168.5909399893</v>
      </c>
    </row>
    <row r="15" spans="1:50">
      <c r="A15" t="s">
        <v>63</v>
      </c>
      <c r="B15">
        <v>288027.98613749997</v>
      </c>
      <c r="C15">
        <v>351776.45385749999</v>
      </c>
      <c r="D15">
        <v>377098.38366375002</v>
      </c>
      <c r="E15">
        <v>390772.35017624998</v>
      </c>
      <c r="F15">
        <v>399305.73325125</v>
      </c>
      <c r="G15">
        <v>334407.90187874902</v>
      </c>
      <c r="H15">
        <v>348317.12456625002</v>
      </c>
      <c r="I15">
        <v>339649.13206874998</v>
      </c>
      <c r="J15">
        <v>403503.916698749</v>
      </c>
      <c r="K15">
        <v>416480.01386249898</v>
      </c>
      <c r="L15">
        <v>422093.33784449898</v>
      </c>
      <c r="M15">
        <v>425216.12609699997</v>
      </c>
      <c r="N15">
        <v>427198.68280162499</v>
      </c>
      <c r="O15">
        <v>359907.08092499903</v>
      </c>
      <c r="P15">
        <v>436170</v>
      </c>
      <c r="Q15">
        <v>436170</v>
      </c>
      <c r="R15">
        <v>436170</v>
      </c>
      <c r="S15">
        <v>436170</v>
      </c>
      <c r="T15">
        <v>436170</v>
      </c>
      <c r="U15">
        <v>436170</v>
      </c>
      <c r="V15">
        <v>436170</v>
      </c>
      <c r="W15">
        <v>436170</v>
      </c>
      <c r="X15">
        <v>436170</v>
      </c>
      <c r="Y15">
        <v>436170</v>
      </c>
      <c r="Z15" s="2">
        <v>436170</v>
      </c>
      <c r="AA15">
        <v>436170</v>
      </c>
      <c r="AB15">
        <v>436170</v>
      </c>
      <c r="AC15">
        <v>436170</v>
      </c>
      <c r="AD15">
        <v>436170</v>
      </c>
      <c r="AE15">
        <v>436170</v>
      </c>
      <c r="AF15">
        <v>436170</v>
      </c>
      <c r="AG15">
        <v>436170</v>
      </c>
      <c r="AH15">
        <v>436170</v>
      </c>
      <c r="AI15">
        <v>436170</v>
      </c>
      <c r="AJ15">
        <v>436170</v>
      </c>
      <c r="AK15">
        <v>414096.22421999997</v>
      </c>
      <c r="AL15">
        <v>414096.22421999997</v>
      </c>
      <c r="AM15">
        <v>414096.22421999997</v>
      </c>
      <c r="AN15">
        <v>414096.22421999997</v>
      </c>
      <c r="AO15">
        <v>414096.22421999997</v>
      </c>
      <c r="AP15">
        <v>414096.22421999997</v>
      </c>
      <c r="AQ15">
        <v>414096.22421999997</v>
      </c>
      <c r="AR15">
        <v>382154.28509999998</v>
      </c>
      <c r="AS15">
        <v>382154.28509999998</v>
      </c>
      <c r="AT15">
        <v>382154.28509999998</v>
      </c>
      <c r="AU15">
        <v>382154.28509999998</v>
      </c>
      <c r="AV15">
        <v>382154.28509999998</v>
      </c>
      <c r="AW15">
        <v>382154.28509999998</v>
      </c>
      <c r="AX15">
        <v>382154.28509999998</v>
      </c>
    </row>
    <row r="16" spans="1:50">
      <c r="A16" t="s">
        <v>64</v>
      </c>
      <c r="B16">
        <v>33394.626553599999</v>
      </c>
      <c r="C16">
        <v>41221.877282560003</v>
      </c>
      <c r="D16">
        <v>44330.98877376</v>
      </c>
      <c r="E16">
        <v>46009.924255359998</v>
      </c>
      <c r="F16">
        <v>47057.681656959998</v>
      </c>
      <c r="G16">
        <v>39089.308202879998</v>
      </c>
      <c r="H16">
        <v>40797.129226880003</v>
      </c>
      <c r="I16">
        <v>39732.844028799998</v>
      </c>
      <c r="J16">
        <v>47573.14870464</v>
      </c>
      <c r="K16">
        <v>49166.397446399998</v>
      </c>
      <c r="L16">
        <v>49855.620202751998</v>
      </c>
      <c r="M16">
        <v>50239.046620672001</v>
      </c>
      <c r="N16">
        <v>50482.471580735997</v>
      </c>
      <c r="O16">
        <v>42220.182950399998</v>
      </c>
      <c r="P16">
        <v>51584</v>
      </c>
      <c r="Q16">
        <v>51584</v>
      </c>
      <c r="R16">
        <v>51584</v>
      </c>
      <c r="S16">
        <v>51584</v>
      </c>
      <c r="T16">
        <v>51584</v>
      </c>
      <c r="U16">
        <v>51584</v>
      </c>
      <c r="V16">
        <v>51584</v>
      </c>
      <c r="W16">
        <v>51584</v>
      </c>
      <c r="X16">
        <v>51584</v>
      </c>
      <c r="Y16">
        <v>51584</v>
      </c>
      <c r="Z16" s="2">
        <v>51584</v>
      </c>
      <c r="AA16">
        <v>51584</v>
      </c>
      <c r="AB16">
        <v>51584</v>
      </c>
      <c r="AC16">
        <v>51584</v>
      </c>
      <c r="AD16">
        <v>51584</v>
      </c>
      <c r="AE16">
        <v>51584</v>
      </c>
      <c r="AF16">
        <v>51584</v>
      </c>
      <c r="AG16">
        <v>51584</v>
      </c>
      <c r="AH16">
        <v>51584</v>
      </c>
      <c r="AI16">
        <v>51584</v>
      </c>
      <c r="AJ16">
        <v>51584</v>
      </c>
      <c r="AK16">
        <v>48973.426943999999</v>
      </c>
      <c r="AL16">
        <v>48973.426943999999</v>
      </c>
      <c r="AM16">
        <v>48973.426943999999</v>
      </c>
      <c r="AN16">
        <v>48973.426943999999</v>
      </c>
      <c r="AO16">
        <v>48973.426943999999</v>
      </c>
      <c r="AP16">
        <v>48973.426943999999</v>
      </c>
      <c r="AQ16">
        <v>48973.426943999999</v>
      </c>
      <c r="AR16">
        <v>45195.787519999998</v>
      </c>
      <c r="AS16">
        <v>45195.787519999998</v>
      </c>
      <c r="AT16">
        <v>45195.787519999998</v>
      </c>
      <c r="AU16">
        <v>45195.787519999998</v>
      </c>
      <c r="AV16">
        <v>45195.787519999998</v>
      </c>
      <c r="AW16">
        <v>45195.787519999998</v>
      </c>
      <c r="AX16">
        <v>45195.787519999998</v>
      </c>
    </row>
    <row r="18" spans="1:50">
      <c r="A18" t="s">
        <v>65</v>
      </c>
      <c r="B18">
        <f>MAX(B14:AX14)</f>
        <v>11391195.4461494</v>
      </c>
    </row>
    <row r="19" spans="1:50">
      <c r="A19" t="s">
        <v>66</v>
      </c>
      <c r="B19">
        <f>COUNTIF(B14:AX14,"&gt;10000000")</f>
        <v>13</v>
      </c>
    </row>
    <row r="20" spans="1:50">
      <c r="A20" t="s">
        <v>66</v>
      </c>
      <c r="B20">
        <f>1*(B14&gt;10^7)</f>
        <v>1</v>
      </c>
      <c r="C20">
        <f t="shared" ref="C20:AX20" si="0">1*(C14&gt;10^7)</f>
        <v>1</v>
      </c>
      <c r="D20">
        <f t="shared" si="0"/>
        <v>1</v>
      </c>
      <c r="E20">
        <f t="shared" si="0"/>
        <v>1</v>
      </c>
      <c r="F20">
        <f t="shared" si="0"/>
        <v>1</v>
      </c>
      <c r="G20">
        <f t="shared" si="0"/>
        <v>1</v>
      </c>
      <c r="H20">
        <f t="shared" si="0"/>
        <v>1</v>
      </c>
      <c r="I20">
        <f t="shared" si="0"/>
        <v>1</v>
      </c>
      <c r="J20">
        <f t="shared" si="0"/>
        <v>1</v>
      </c>
      <c r="K20">
        <f t="shared" si="0"/>
        <v>1</v>
      </c>
      <c r="L20">
        <f t="shared" si="0"/>
        <v>1</v>
      </c>
      <c r="M20">
        <f t="shared" si="0"/>
        <v>1</v>
      </c>
      <c r="N20">
        <f t="shared" si="0"/>
        <v>1</v>
      </c>
      <c r="O20">
        <f t="shared" si="0"/>
        <v>0</v>
      </c>
      <c r="P20">
        <f t="shared" si="0"/>
        <v>0</v>
      </c>
      <c r="Q20">
        <f t="shared" si="0"/>
        <v>0</v>
      </c>
      <c r="R20">
        <f t="shared" si="0"/>
        <v>0</v>
      </c>
      <c r="S20">
        <f t="shared" si="0"/>
        <v>0</v>
      </c>
      <c r="T20">
        <f t="shared" si="0"/>
        <v>0</v>
      </c>
      <c r="U20">
        <f t="shared" si="0"/>
        <v>0</v>
      </c>
      <c r="V20">
        <f t="shared" si="0"/>
        <v>0</v>
      </c>
      <c r="W20">
        <f t="shared" si="0"/>
        <v>0</v>
      </c>
      <c r="X20">
        <f t="shared" si="0"/>
        <v>0</v>
      </c>
      <c r="Y20">
        <f t="shared" si="0"/>
        <v>0</v>
      </c>
      <c r="Z20">
        <f t="shared" si="0"/>
        <v>0</v>
      </c>
      <c r="AA20">
        <f t="shared" si="0"/>
        <v>0</v>
      </c>
      <c r="AB20">
        <f t="shared" si="0"/>
        <v>0</v>
      </c>
      <c r="AC20">
        <f t="shared" si="0"/>
        <v>0</v>
      </c>
      <c r="AD20">
        <f t="shared" si="0"/>
        <v>0</v>
      </c>
      <c r="AE20">
        <f t="shared" si="0"/>
        <v>0</v>
      </c>
      <c r="AF20">
        <f t="shared" si="0"/>
        <v>0</v>
      </c>
      <c r="AG20">
        <f t="shared" si="0"/>
        <v>0</v>
      </c>
      <c r="AH20">
        <f t="shared" si="0"/>
        <v>0</v>
      </c>
      <c r="AI20">
        <f t="shared" si="0"/>
        <v>0</v>
      </c>
      <c r="AJ20">
        <f t="shared" si="0"/>
        <v>0</v>
      </c>
      <c r="AK20">
        <f t="shared" si="0"/>
        <v>0</v>
      </c>
      <c r="AL20">
        <f t="shared" si="0"/>
        <v>0</v>
      </c>
      <c r="AM20">
        <f t="shared" si="0"/>
        <v>0</v>
      </c>
      <c r="AN20">
        <f t="shared" si="0"/>
        <v>0</v>
      </c>
      <c r="AO20">
        <f t="shared" si="0"/>
        <v>0</v>
      </c>
      <c r="AP20">
        <f t="shared" si="0"/>
        <v>0</v>
      </c>
      <c r="AQ20">
        <f t="shared" si="0"/>
        <v>0</v>
      </c>
      <c r="AR20">
        <f t="shared" si="0"/>
        <v>0</v>
      </c>
      <c r="AS20">
        <f t="shared" si="0"/>
        <v>0</v>
      </c>
      <c r="AT20">
        <f t="shared" si="0"/>
        <v>0</v>
      </c>
      <c r="AU20">
        <f t="shared" si="0"/>
        <v>0</v>
      </c>
      <c r="AV20">
        <f t="shared" si="0"/>
        <v>0</v>
      </c>
      <c r="AW20">
        <f t="shared" si="0"/>
        <v>0</v>
      </c>
      <c r="AX20">
        <f t="shared" si="0"/>
        <v>0</v>
      </c>
    </row>
    <row r="21" spans="1:50">
      <c r="A21" t="s">
        <v>67</v>
      </c>
      <c r="B21">
        <f>SUM(B20:AX20)</f>
        <v>13</v>
      </c>
    </row>
    <row r="23" spans="1:50">
      <c r="A23" t="s">
        <v>68</v>
      </c>
    </row>
    <row r="24" spans="1:50">
      <c r="A24" t="s">
        <v>69</v>
      </c>
      <c r="B24">
        <f>1*(B2&gt;0.001)</f>
        <v>1</v>
      </c>
      <c r="C24">
        <f t="shared" ref="C24:AX24" si="1">1*(C2&gt;0.001)</f>
        <v>1</v>
      </c>
      <c r="D24">
        <f t="shared" si="1"/>
        <v>1</v>
      </c>
      <c r="E24">
        <f t="shared" si="1"/>
        <v>1</v>
      </c>
      <c r="F24">
        <f t="shared" si="1"/>
        <v>1</v>
      </c>
      <c r="G24">
        <f t="shared" si="1"/>
        <v>0</v>
      </c>
      <c r="H24">
        <f t="shared" si="1"/>
        <v>0</v>
      </c>
      <c r="I24">
        <f t="shared" si="1"/>
        <v>1</v>
      </c>
      <c r="J24">
        <f t="shared" si="1"/>
        <v>1</v>
      </c>
      <c r="K24">
        <f t="shared" si="1"/>
        <v>1</v>
      </c>
      <c r="L24">
        <f t="shared" si="1"/>
        <v>1</v>
      </c>
      <c r="M24">
        <f t="shared" si="1"/>
        <v>1</v>
      </c>
      <c r="N24">
        <f t="shared" si="1"/>
        <v>1</v>
      </c>
      <c r="O24">
        <f t="shared" si="1"/>
        <v>0</v>
      </c>
      <c r="P24">
        <f t="shared" si="1"/>
        <v>1</v>
      </c>
      <c r="Q24">
        <f t="shared" si="1"/>
        <v>1</v>
      </c>
      <c r="R24">
        <f t="shared" si="1"/>
        <v>1</v>
      </c>
      <c r="S24">
        <f t="shared" si="1"/>
        <v>1</v>
      </c>
      <c r="T24">
        <f t="shared" si="1"/>
        <v>1</v>
      </c>
      <c r="U24">
        <f t="shared" si="1"/>
        <v>1</v>
      </c>
      <c r="V24">
        <f t="shared" si="1"/>
        <v>1</v>
      </c>
      <c r="W24">
        <f t="shared" si="1"/>
        <v>1</v>
      </c>
      <c r="X24">
        <f t="shared" si="1"/>
        <v>1</v>
      </c>
      <c r="Y24">
        <f t="shared" si="1"/>
        <v>1</v>
      </c>
      <c r="Z24">
        <f t="shared" si="1"/>
        <v>1</v>
      </c>
      <c r="AA24">
        <f t="shared" si="1"/>
        <v>1</v>
      </c>
      <c r="AB24">
        <f t="shared" si="1"/>
        <v>1</v>
      </c>
      <c r="AC24">
        <f t="shared" si="1"/>
        <v>1</v>
      </c>
      <c r="AD24">
        <f t="shared" si="1"/>
        <v>1</v>
      </c>
      <c r="AE24">
        <f t="shared" si="1"/>
        <v>1</v>
      </c>
      <c r="AF24">
        <f t="shared" si="1"/>
        <v>1</v>
      </c>
      <c r="AG24">
        <f t="shared" si="1"/>
        <v>1</v>
      </c>
      <c r="AH24">
        <f t="shared" si="1"/>
        <v>1</v>
      </c>
      <c r="AI24">
        <f t="shared" si="1"/>
        <v>1</v>
      </c>
      <c r="AJ24">
        <f t="shared" si="1"/>
        <v>1</v>
      </c>
      <c r="AK24">
        <f t="shared" si="1"/>
        <v>0</v>
      </c>
      <c r="AL24">
        <f t="shared" si="1"/>
        <v>0</v>
      </c>
      <c r="AM24">
        <f t="shared" si="1"/>
        <v>0</v>
      </c>
      <c r="AN24">
        <f t="shared" si="1"/>
        <v>0</v>
      </c>
      <c r="AO24">
        <f t="shared" si="1"/>
        <v>0</v>
      </c>
      <c r="AP24">
        <f t="shared" si="1"/>
        <v>0</v>
      </c>
      <c r="AQ24">
        <f t="shared" si="1"/>
        <v>0</v>
      </c>
      <c r="AR24">
        <f t="shared" si="1"/>
        <v>0</v>
      </c>
      <c r="AS24">
        <f t="shared" si="1"/>
        <v>0</v>
      </c>
      <c r="AT24">
        <f t="shared" si="1"/>
        <v>0</v>
      </c>
      <c r="AU24">
        <f t="shared" si="1"/>
        <v>0</v>
      </c>
      <c r="AV24">
        <f t="shared" si="1"/>
        <v>0</v>
      </c>
      <c r="AW24">
        <f t="shared" si="1"/>
        <v>0</v>
      </c>
      <c r="AX24">
        <f t="shared" si="1"/>
        <v>0</v>
      </c>
    </row>
    <row r="25" spans="1:50">
      <c r="A25" t="s">
        <v>70</v>
      </c>
      <c r="B25">
        <f>1*(B3&gt;0.001)</f>
        <v>0</v>
      </c>
      <c r="C25">
        <f t="shared" ref="C25:AX25" si="2">1*(C3&gt;0.001)</f>
        <v>0</v>
      </c>
      <c r="D25">
        <f t="shared" si="2"/>
        <v>0</v>
      </c>
      <c r="E25">
        <f t="shared" si="2"/>
        <v>0</v>
      </c>
      <c r="F25">
        <f t="shared" si="2"/>
        <v>0</v>
      </c>
      <c r="G25">
        <f t="shared" si="2"/>
        <v>1</v>
      </c>
      <c r="H25">
        <f t="shared" si="2"/>
        <v>1</v>
      </c>
      <c r="I25">
        <f t="shared" si="2"/>
        <v>0</v>
      </c>
      <c r="J25">
        <f t="shared" si="2"/>
        <v>0</v>
      </c>
      <c r="K25">
        <f t="shared" si="2"/>
        <v>0</v>
      </c>
      <c r="L25">
        <f t="shared" si="2"/>
        <v>0</v>
      </c>
      <c r="M25">
        <f t="shared" si="2"/>
        <v>0</v>
      </c>
      <c r="N25">
        <f t="shared" si="2"/>
        <v>0</v>
      </c>
      <c r="O25">
        <f t="shared" si="2"/>
        <v>1</v>
      </c>
      <c r="P25">
        <f t="shared" si="2"/>
        <v>1</v>
      </c>
      <c r="Q25">
        <f t="shared" si="2"/>
        <v>1</v>
      </c>
      <c r="R25">
        <f t="shared" si="2"/>
        <v>1</v>
      </c>
      <c r="S25">
        <f t="shared" si="2"/>
        <v>1</v>
      </c>
      <c r="T25">
        <f t="shared" si="2"/>
        <v>1</v>
      </c>
      <c r="U25">
        <f t="shared" si="2"/>
        <v>1</v>
      </c>
      <c r="V25">
        <f t="shared" si="2"/>
        <v>1</v>
      </c>
      <c r="W25">
        <f t="shared" si="2"/>
        <v>1</v>
      </c>
      <c r="X25">
        <f t="shared" si="2"/>
        <v>1</v>
      </c>
      <c r="Y25">
        <f t="shared" si="2"/>
        <v>1</v>
      </c>
      <c r="Z25">
        <f t="shared" si="2"/>
        <v>1</v>
      </c>
      <c r="AA25">
        <f t="shared" si="2"/>
        <v>1</v>
      </c>
      <c r="AB25">
        <f t="shared" si="2"/>
        <v>1</v>
      </c>
      <c r="AC25">
        <f t="shared" si="2"/>
        <v>1</v>
      </c>
      <c r="AD25">
        <f t="shared" si="2"/>
        <v>1</v>
      </c>
      <c r="AE25">
        <f t="shared" si="2"/>
        <v>1</v>
      </c>
      <c r="AF25">
        <f t="shared" si="2"/>
        <v>1</v>
      </c>
      <c r="AG25">
        <f t="shared" si="2"/>
        <v>1</v>
      </c>
      <c r="AH25">
        <f t="shared" si="2"/>
        <v>1</v>
      </c>
      <c r="AI25">
        <f t="shared" si="2"/>
        <v>1</v>
      </c>
      <c r="AJ25">
        <f t="shared" si="2"/>
        <v>1</v>
      </c>
      <c r="AK25">
        <f t="shared" si="2"/>
        <v>1</v>
      </c>
      <c r="AL25">
        <f t="shared" si="2"/>
        <v>1</v>
      </c>
      <c r="AM25">
        <f t="shared" si="2"/>
        <v>1</v>
      </c>
      <c r="AN25">
        <f t="shared" si="2"/>
        <v>1</v>
      </c>
      <c r="AO25">
        <f t="shared" si="2"/>
        <v>1</v>
      </c>
      <c r="AP25">
        <f t="shared" si="2"/>
        <v>1</v>
      </c>
      <c r="AQ25">
        <f t="shared" si="2"/>
        <v>1</v>
      </c>
      <c r="AR25">
        <f t="shared" si="2"/>
        <v>1</v>
      </c>
      <c r="AS25">
        <f t="shared" si="2"/>
        <v>1</v>
      </c>
      <c r="AT25">
        <f t="shared" si="2"/>
        <v>1</v>
      </c>
      <c r="AU25">
        <f t="shared" si="2"/>
        <v>1</v>
      </c>
      <c r="AV25">
        <f t="shared" si="2"/>
        <v>1</v>
      </c>
      <c r="AW25">
        <f t="shared" si="2"/>
        <v>1</v>
      </c>
      <c r="AX25">
        <f t="shared" si="2"/>
        <v>1</v>
      </c>
    </row>
    <row r="26" spans="1:50">
      <c r="A26" t="s">
        <v>71</v>
      </c>
      <c r="B26">
        <f>1*(B4&gt;0.001)</f>
        <v>1</v>
      </c>
      <c r="C26">
        <f t="shared" ref="C26:AX26" si="3">1*(C4&gt;0.001)</f>
        <v>1</v>
      </c>
      <c r="D26">
        <f t="shared" si="3"/>
        <v>1</v>
      </c>
      <c r="E26">
        <f t="shared" si="3"/>
        <v>1</v>
      </c>
      <c r="F26">
        <f t="shared" si="3"/>
        <v>1</v>
      </c>
      <c r="G26">
        <f t="shared" si="3"/>
        <v>1</v>
      </c>
      <c r="H26">
        <f t="shared" si="3"/>
        <v>1</v>
      </c>
      <c r="I26">
        <f t="shared" si="3"/>
        <v>1</v>
      </c>
      <c r="J26">
        <f t="shared" si="3"/>
        <v>1</v>
      </c>
      <c r="K26">
        <f t="shared" si="3"/>
        <v>1</v>
      </c>
      <c r="L26">
        <f t="shared" si="3"/>
        <v>1</v>
      </c>
      <c r="M26">
        <f t="shared" si="3"/>
        <v>1</v>
      </c>
      <c r="N26">
        <f t="shared" si="3"/>
        <v>1</v>
      </c>
      <c r="O26">
        <f t="shared" si="3"/>
        <v>1</v>
      </c>
      <c r="P26">
        <f t="shared" si="3"/>
        <v>1</v>
      </c>
      <c r="Q26">
        <f t="shared" si="3"/>
        <v>1</v>
      </c>
      <c r="R26">
        <f t="shared" si="3"/>
        <v>1</v>
      </c>
      <c r="S26">
        <f t="shared" si="3"/>
        <v>1</v>
      </c>
      <c r="T26">
        <f t="shared" si="3"/>
        <v>1</v>
      </c>
      <c r="U26">
        <f t="shared" si="3"/>
        <v>1</v>
      </c>
      <c r="V26">
        <f t="shared" si="3"/>
        <v>1</v>
      </c>
      <c r="W26">
        <f t="shared" si="3"/>
        <v>1</v>
      </c>
      <c r="X26">
        <f t="shared" si="3"/>
        <v>1</v>
      </c>
      <c r="Y26">
        <f t="shared" si="3"/>
        <v>1</v>
      </c>
      <c r="Z26">
        <f t="shared" si="3"/>
        <v>1</v>
      </c>
      <c r="AA26">
        <f t="shared" si="3"/>
        <v>1</v>
      </c>
      <c r="AB26">
        <f t="shared" si="3"/>
        <v>1</v>
      </c>
      <c r="AC26">
        <f t="shared" si="3"/>
        <v>1</v>
      </c>
      <c r="AD26">
        <f t="shared" si="3"/>
        <v>1</v>
      </c>
      <c r="AE26">
        <f t="shared" si="3"/>
        <v>1</v>
      </c>
      <c r="AF26">
        <f t="shared" si="3"/>
        <v>1</v>
      </c>
      <c r="AG26">
        <f t="shared" si="3"/>
        <v>1</v>
      </c>
      <c r="AH26">
        <f t="shared" si="3"/>
        <v>1</v>
      </c>
      <c r="AI26">
        <f t="shared" si="3"/>
        <v>1</v>
      </c>
      <c r="AJ26">
        <f t="shared" si="3"/>
        <v>1</v>
      </c>
      <c r="AK26">
        <f t="shared" si="3"/>
        <v>1</v>
      </c>
      <c r="AL26">
        <f t="shared" si="3"/>
        <v>1</v>
      </c>
      <c r="AM26">
        <f t="shared" si="3"/>
        <v>1</v>
      </c>
      <c r="AN26">
        <f t="shared" si="3"/>
        <v>1</v>
      </c>
      <c r="AO26">
        <f t="shared" si="3"/>
        <v>1</v>
      </c>
      <c r="AP26">
        <f t="shared" si="3"/>
        <v>1</v>
      </c>
      <c r="AQ26">
        <f t="shared" si="3"/>
        <v>1</v>
      </c>
      <c r="AR26">
        <f t="shared" si="3"/>
        <v>1</v>
      </c>
      <c r="AS26">
        <f t="shared" si="3"/>
        <v>1</v>
      </c>
      <c r="AT26">
        <f t="shared" si="3"/>
        <v>1</v>
      </c>
      <c r="AU26">
        <f t="shared" si="3"/>
        <v>1</v>
      </c>
      <c r="AV26">
        <f t="shared" si="3"/>
        <v>1</v>
      </c>
      <c r="AW26">
        <f t="shared" si="3"/>
        <v>1</v>
      </c>
      <c r="AX26">
        <f t="shared" si="3"/>
        <v>1</v>
      </c>
    </row>
    <row r="27" spans="1:50">
      <c r="A27" t="s">
        <v>72</v>
      </c>
      <c r="B27">
        <f>1*(B5&gt;0.001)</f>
        <v>1</v>
      </c>
      <c r="C27">
        <f t="shared" ref="C27:AX27" si="4">1*(C5&gt;0.001)</f>
        <v>1</v>
      </c>
      <c r="D27">
        <f t="shared" si="4"/>
        <v>1</v>
      </c>
      <c r="E27">
        <f t="shared" si="4"/>
        <v>1</v>
      </c>
      <c r="F27">
        <f t="shared" si="4"/>
        <v>1</v>
      </c>
      <c r="G27">
        <f t="shared" si="4"/>
        <v>1</v>
      </c>
      <c r="H27">
        <f t="shared" si="4"/>
        <v>1</v>
      </c>
      <c r="I27">
        <f t="shared" si="4"/>
        <v>1</v>
      </c>
      <c r="J27">
        <f t="shared" si="4"/>
        <v>1</v>
      </c>
      <c r="K27">
        <f t="shared" si="4"/>
        <v>1</v>
      </c>
      <c r="L27">
        <f t="shared" si="4"/>
        <v>1</v>
      </c>
      <c r="M27">
        <f t="shared" si="4"/>
        <v>1</v>
      </c>
      <c r="N27">
        <f t="shared" si="4"/>
        <v>1</v>
      </c>
      <c r="O27">
        <f t="shared" si="4"/>
        <v>1</v>
      </c>
      <c r="P27">
        <f t="shared" si="4"/>
        <v>0</v>
      </c>
      <c r="Q27">
        <f t="shared" si="4"/>
        <v>0</v>
      </c>
      <c r="R27">
        <f t="shared" si="4"/>
        <v>0</v>
      </c>
      <c r="S27">
        <f t="shared" si="4"/>
        <v>0</v>
      </c>
      <c r="T27">
        <f t="shared" si="4"/>
        <v>0</v>
      </c>
      <c r="U27">
        <f t="shared" si="4"/>
        <v>0</v>
      </c>
      <c r="V27">
        <f t="shared" si="4"/>
        <v>0</v>
      </c>
      <c r="W27">
        <f t="shared" si="4"/>
        <v>0</v>
      </c>
      <c r="X27">
        <f t="shared" si="4"/>
        <v>0</v>
      </c>
      <c r="Y27">
        <f t="shared" si="4"/>
        <v>0</v>
      </c>
      <c r="Z27">
        <f t="shared" si="4"/>
        <v>0</v>
      </c>
      <c r="AA27">
        <f t="shared" si="4"/>
        <v>0</v>
      </c>
      <c r="AB27">
        <f t="shared" si="4"/>
        <v>0</v>
      </c>
      <c r="AC27">
        <f t="shared" si="4"/>
        <v>0</v>
      </c>
      <c r="AD27">
        <f t="shared" si="4"/>
        <v>0</v>
      </c>
      <c r="AE27">
        <f t="shared" si="4"/>
        <v>0</v>
      </c>
      <c r="AF27">
        <f t="shared" si="4"/>
        <v>0</v>
      </c>
      <c r="AG27">
        <f t="shared" si="4"/>
        <v>0</v>
      </c>
      <c r="AH27">
        <f t="shared" si="4"/>
        <v>0</v>
      </c>
      <c r="AI27">
        <f t="shared" si="4"/>
        <v>0</v>
      </c>
      <c r="AJ27">
        <f t="shared" si="4"/>
        <v>0</v>
      </c>
      <c r="AK27">
        <f t="shared" si="4"/>
        <v>0</v>
      </c>
      <c r="AL27">
        <f t="shared" si="4"/>
        <v>0</v>
      </c>
      <c r="AM27">
        <f t="shared" si="4"/>
        <v>0</v>
      </c>
      <c r="AN27">
        <f t="shared" si="4"/>
        <v>0</v>
      </c>
      <c r="AO27">
        <f t="shared" si="4"/>
        <v>0</v>
      </c>
      <c r="AP27">
        <f t="shared" si="4"/>
        <v>0</v>
      </c>
      <c r="AQ27">
        <f t="shared" si="4"/>
        <v>0</v>
      </c>
      <c r="AR27">
        <f t="shared" si="4"/>
        <v>0</v>
      </c>
      <c r="AS27">
        <f t="shared" si="4"/>
        <v>0</v>
      </c>
      <c r="AT27">
        <f t="shared" si="4"/>
        <v>0</v>
      </c>
      <c r="AU27">
        <f t="shared" si="4"/>
        <v>0</v>
      </c>
      <c r="AV27">
        <f t="shared" si="4"/>
        <v>0</v>
      </c>
      <c r="AW27">
        <f t="shared" si="4"/>
        <v>0</v>
      </c>
      <c r="AX27">
        <f t="shared" si="4"/>
        <v>0</v>
      </c>
    </row>
    <row r="28" spans="1:50">
      <c r="A28" t="s">
        <v>73</v>
      </c>
      <c r="B28">
        <f>IF(AND(MIN(B$24:B$25)=0, MIN(B$26:B$27)=0),1,0)</f>
        <v>0</v>
      </c>
      <c r="C28">
        <f t="shared" ref="C28:AX28" si="5">IF(AND(MIN(C$24:C$25)=0, MIN(C$26:C$27)=0),1,0)</f>
        <v>0</v>
      </c>
      <c r="D28">
        <f t="shared" si="5"/>
        <v>0</v>
      </c>
      <c r="E28">
        <f t="shared" si="5"/>
        <v>0</v>
      </c>
      <c r="F28">
        <f t="shared" si="5"/>
        <v>0</v>
      </c>
      <c r="G28">
        <f t="shared" si="5"/>
        <v>0</v>
      </c>
      <c r="H28">
        <f t="shared" si="5"/>
        <v>0</v>
      </c>
      <c r="I28">
        <f t="shared" si="5"/>
        <v>0</v>
      </c>
      <c r="J28">
        <f t="shared" si="5"/>
        <v>0</v>
      </c>
      <c r="K28">
        <f t="shared" si="5"/>
        <v>0</v>
      </c>
      <c r="L28">
        <f t="shared" si="5"/>
        <v>0</v>
      </c>
      <c r="M28">
        <f t="shared" si="5"/>
        <v>0</v>
      </c>
      <c r="N28">
        <f t="shared" si="5"/>
        <v>0</v>
      </c>
      <c r="O28">
        <f t="shared" si="5"/>
        <v>0</v>
      </c>
      <c r="P28">
        <f t="shared" si="5"/>
        <v>0</v>
      </c>
      <c r="Q28">
        <f t="shared" si="5"/>
        <v>0</v>
      </c>
      <c r="R28">
        <f t="shared" si="5"/>
        <v>0</v>
      </c>
      <c r="S28">
        <f t="shared" si="5"/>
        <v>0</v>
      </c>
      <c r="T28">
        <f t="shared" si="5"/>
        <v>0</v>
      </c>
      <c r="U28">
        <f t="shared" si="5"/>
        <v>0</v>
      </c>
      <c r="V28">
        <f t="shared" si="5"/>
        <v>0</v>
      </c>
      <c r="W28">
        <f t="shared" si="5"/>
        <v>0</v>
      </c>
      <c r="X28">
        <f t="shared" si="5"/>
        <v>0</v>
      </c>
      <c r="Y28">
        <f t="shared" si="5"/>
        <v>0</v>
      </c>
      <c r="Z28">
        <f t="shared" si="5"/>
        <v>0</v>
      </c>
      <c r="AA28">
        <f t="shared" si="5"/>
        <v>0</v>
      </c>
      <c r="AB28">
        <f t="shared" si="5"/>
        <v>0</v>
      </c>
      <c r="AC28">
        <f t="shared" si="5"/>
        <v>0</v>
      </c>
      <c r="AD28">
        <f t="shared" si="5"/>
        <v>0</v>
      </c>
      <c r="AE28">
        <f t="shared" si="5"/>
        <v>0</v>
      </c>
      <c r="AF28">
        <f t="shared" si="5"/>
        <v>0</v>
      </c>
      <c r="AG28">
        <f t="shared" si="5"/>
        <v>0</v>
      </c>
      <c r="AH28">
        <f t="shared" si="5"/>
        <v>0</v>
      </c>
      <c r="AI28">
        <f t="shared" si="5"/>
        <v>0</v>
      </c>
      <c r="AJ28">
        <f t="shared" si="5"/>
        <v>0</v>
      </c>
      <c r="AK28">
        <f t="shared" si="5"/>
        <v>1</v>
      </c>
      <c r="AL28">
        <f t="shared" si="5"/>
        <v>1</v>
      </c>
      <c r="AM28">
        <f t="shared" si="5"/>
        <v>1</v>
      </c>
      <c r="AN28">
        <f t="shared" si="5"/>
        <v>1</v>
      </c>
      <c r="AO28">
        <f t="shared" si="5"/>
        <v>1</v>
      </c>
      <c r="AP28">
        <f t="shared" si="5"/>
        <v>1</v>
      </c>
      <c r="AQ28">
        <f t="shared" si="5"/>
        <v>1</v>
      </c>
      <c r="AR28">
        <f t="shared" si="5"/>
        <v>1</v>
      </c>
      <c r="AS28">
        <f t="shared" si="5"/>
        <v>1</v>
      </c>
      <c r="AT28">
        <f t="shared" si="5"/>
        <v>1</v>
      </c>
      <c r="AU28">
        <f t="shared" si="5"/>
        <v>1</v>
      </c>
      <c r="AV28">
        <f t="shared" si="5"/>
        <v>1</v>
      </c>
      <c r="AW28">
        <f t="shared" si="5"/>
        <v>1</v>
      </c>
      <c r="AX28">
        <f t="shared" si="5"/>
        <v>1</v>
      </c>
    </row>
    <row r="29" spans="1:50">
      <c r="A29" t="s">
        <v>74</v>
      </c>
      <c r="B29">
        <f>IF(AND(MIN(B$24:B$25)=1, MIN(B$26:B$27)=0),1,0)</f>
        <v>0</v>
      </c>
      <c r="C29">
        <f t="shared" ref="C29:AX29" si="6">IF(AND(MIN(C$24:C$25)=1, MIN(C$26:C$27)=0),1,0)</f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  <c r="K29">
        <f t="shared" si="6"/>
        <v>0</v>
      </c>
      <c r="L29">
        <f t="shared" si="6"/>
        <v>0</v>
      </c>
      <c r="M29">
        <f t="shared" si="6"/>
        <v>0</v>
      </c>
      <c r="N29">
        <f t="shared" si="6"/>
        <v>0</v>
      </c>
      <c r="O29">
        <f t="shared" si="6"/>
        <v>0</v>
      </c>
      <c r="P29">
        <f t="shared" si="6"/>
        <v>1</v>
      </c>
      <c r="Q29">
        <f t="shared" si="6"/>
        <v>1</v>
      </c>
      <c r="R29">
        <f t="shared" si="6"/>
        <v>1</v>
      </c>
      <c r="S29">
        <f t="shared" si="6"/>
        <v>1</v>
      </c>
      <c r="T29">
        <f t="shared" si="6"/>
        <v>1</v>
      </c>
      <c r="U29">
        <f t="shared" si="6"/>
        <v>1</v>
      </c>
      <c r="V29">
        <f t="shared" si="6"/>
        <v>1</v>
      </c>
      <c r="W29">
        <f t="shared" si="6"/>
        <v>1</v>
      </c>
      <c r="X29">
        <f t="shared" si="6"/>
        <v>1</v>
      </c>
      <c r="Y29">
        <f t="shared" si="6"/>
        <v>1</v>
      </c>
      <c r="Z29">
        <f t="shared" si="6"/>
        <v>1</v>
      </c>
      <c r="AA29">
        <f t="shared" si="6"/>
        <v>1</v>
      </c>
      <c r="AB29">
        <f t="shared" si="6"/>
        <v>1</v>
      </c>
      <c r="AC29">
        <f t="shared" si="6"/>
        <v>1</v>
      </c>
      <c r="AD29">
        <f t="shared" si="6"/>
        <v>1</v>
      </c>
      <c r="AE29">
        <f t="shared" si="6"/>
        <v>1</v>
      </c>
      <c r="AF29">
        <f t="shared" si="6"/>
        <v>1</v>
      </c>
      <c r="AG29">
        <f t="shared" si="6"/>
        <v>1</v>
      </c>
      <c r="AH29">
        <f t="shared" si="6"/>
        <v>1</v>
      </c>
      <c r="AI29">
        <f t="shared" si="6"/>
        <v>1</v>
      </c>
      <c r="AJ29">
        <f t="shared" si="6"/>
        <v>1</v>
      </c>
      <c r="AK29">
        <f t="shared" si="6"/>
        <v>0</v>
      </c>
      <c r="AL29">
        <f t="shared" si="6"/>
        <v>0</v>
      </c>
      <c r="AM29">
        <f t="shared" si="6"/>
        <v>0</v>
      </c>
      <c r="AN29">
        <f t="shared" si="6"/>
        <v>0</v>
      </c>
      <c r="AO29">
        <f t="shared" si="6"/>
        <v>0</v>
      </c>
      <c r="AP29">
        <f t="shared" si="6"/>
        <v>0</v>
      </c>
      <c r="AQ29">
        <f t="shared" si="6"/>
        <v>0</v>
      </c>
      <c r="AR29">
        <f t="shared" si="6"/>
        <v>0</v>
      </c>
      <c r="AS29">
        <f t="shared" si="6"/>
        <v>0</v>
      </c>
      <c r="AT29">
        <f t="shared" si="6"/>
        <v>0</v>
      </c>
      <c r="AU29">
        <f t="shared" si="6"/>
        <v>0</v>
      </c>
      <c r="AV29">
        <f t="shared" si="6"/>
        <v>0</v>
      </c>
      <c r="AW29">
        <f t="shared" si="6"/>
        <v>0</v>
      </c>
      <c r="AX29">
        <f t="shared" si="6"/>
        <v>0</v>
      </c>
    </row>
    <row r="30" spans="1:50">
      <c r="A30" t="s">
        <v>75</v>
      </c>
      <c r="B30">
        <f>IF(AND(MIN(B$24:B$25)=0, MIN(B$26:B$27)=1),1,0)</f>
        <v>1</v>
      </c>
      <c r="C30">
        <f t="shared" ref="C30:AX30" si="7">IF(AND(MIN(C$24:C$25)=0, MIN(C$26:C$27)=1),1,0)</f>
        <v>1</v>
      </c>
      <c r="D30">
        <f t="shared" si="7"/>
        <v>1</v>
      </c>
      <c r="E30">
        <f t="shared" si="7"/>
        <v>1</v>
      </c>
      <c r="F30">
        <f t="shared" si="7"/>
        <v>1</v>
      </c>
      <c r="G30">
        <f t="shared" si="7"/>
        <v>1</v>
      </c>
      <c r="H30">
        <f t="shared" si="7"/>
        <v>1</v>
      </c>
      <c r="I30">
        <f t="shared" si="7"/>
        <v>1</v>
      </c>
      <c r="J30">
        <f t="shared" si="7"/>
        <v>1</v>
      </c>
      <c r="K30">
        <f t="shared" si="7"/>
        <v>1</v>
      </c>
      <c r="L30">
        <f t="shared" si="7"/>
        <v>1</v>
      </c>
      <c r="M30">
        <f t="shared" si="7"/>
        <v>1</v>
      </c>
      <c r="N30">
        <f t="shared" si="7"/>
        <v>1</v>
      </c>
      <c r="O30">
        <f t="shared" si="7"/>
        <v>1</v>
      </c>
      <c r="P30">
        <f t="shared" si="7"/>
        <v>0</v>
      </c>
      <c r="Q30">
        <f t="shared" si="7"/>
        <v>0</v>
      </c>
      <c r="R30">
        <f t="shared" si="7"/>
        <v>0</v>
      </c>
      <c r="S30">
        <f t="shared" si="7"/>
        <v>0</v>
      </c>
      <c r="T30">
        <f t="shared" si="7"/>
        <v>0</v>
      </c>
      <c r="U30">
        <f t="shared" si="7"/>
        <v>0</v>
      </c>
      <c r="V30">
        <f t="shared" si="7"/>
        <v>0</v>
      </c>
      <c r="W30">
        <f t="shared" si="7"/>
        <v>0</v>
      </c>
      <c r="X30">
        <f t="shared" si="7"/>
        <v>0</v>
      </c>
      <c r="Y30">
        <f t="shared" si="7"/>
        <v>0</v>
      </c>
      <c r="Z30">
        <f t="shared" si="7"/>
        <v>0</v>
      </c>
      <c r="AA30">
        <f t="shared" si="7"/>
        <v>0</v>
      </c>
      <c r="AB30">
        <f t="shared" si="7"/>
        <v>0</v>
      </c>
      <c r="AC30">
        <f t="shared" si="7"/>
        <v>0</v>
      </c>
      <c r="AD30">
        <f t="shared" si="7"/>
        <v>0</v>
      </c>
      <c r="AE30">
        <f t="shared" si="7"/>
        <v>0</v>
      </c>
      <c r="AF30">
        <f t="shared" si="7"/>
        <v>0</v>
      </c>
      <c r="AG30">
        <f t="shared" si="7"/>
        <v>0</v>
      </c>
      <c r="AH30">
        <f t="shared" si="7"/>
        <v>0</v>
      </c>
      <c r="AI30">
        <f t="shared" si="7"/>
        <v>0</v>
      </c>
      <c r="AJ30">
        <f t="shared" si="7"/>
        <v>0</v>
      </c>
      <c r="AK30">
        <f t="shared" si="7"/>
        <v>0</v>
      </c>
      <c r="AL30">
        <f t="shared" si="7"/>
        <v>0</v>
      </c>
      <c r="AM30">
        <f t="shared" si="7"/>
        <v>0</v>
      </c>
      <c r="AN30">
        <f t="shared" si="7"/>
        <v>0</v>
      </c>
      <c r="AO30">
        <f t="shared" si="7"/>
        <v>0</v>
      </c>
      <c r="AP30">
        <f t="shared" si="7"/>
        <v>0</v>
      </c>
      <c r="AQ30">
        <f t="shared" si="7"/>
        <v>0</v>
      </c>
      <c r="AR30">
        <f t="shared" si="7"/>
        <v>0</v>
      </c>
      <c r="AS30">
        <f t="shared" si="7"/>
        <v>0</v>
      </c>
      <c r="AT30">
        <f t="shared" si="7"/>
        <v>0</v>
      </c>
      <c r="AU30">
        <f t="shared" si="7"/>
        <v>0</v>
      </c>
      <c r="AV30">
        <f t="shared" si="7"/>
        <v>0</v>
      </c>
      <c r="AW30">
        <f t="shared" si="7"/>
        <v>0</v>
      </c>
      <c r="AX30">
        <f t="shared" si="7"/>
        <v>0</v>
      </c>
    </row>
    <row r="31" spans="1:50">
      <c r="A31" t="s">
        <v>76</v>
      </c>
      <c r="B31">
        <f>IF(AND(MIN(B$24:B$25)=1, MIN(B$26:B$27)=1),1,0)</f>
        <v>0</v>
      </c>
      <c r="C31">
        <f t="shared" ref="C31:AX31" si="8">IF(AND(MIN(C$24:C$25)=1, MIN(C$26:C$27)=1),1,0)</f>
        <v>0</v>
      </c>
      <c r="D31">
        <f t="shared" si="8"/>
        <v>0</v>
      </c>
      <c r="E31">
        <f t="shared" si="8"/>
        <v>0</v>
      </c>
      <c r="F31">
        <f t="shared" si="8"/>
        <v>0</v>
      </c>
      <c r="G31">
        <f t="shared" si="8"/>
        <v>0</v>
      </c>
      <c r="H31">
        <f t="shared" si="8"/>
        <v>0</v>
      </c>
      <c r="I31">
        <f t="shared" si="8"/>
        <v>0</v>
      </c>
      <c r="J31">
        <f t="shared" si="8"/>
        <v>0</v>
      </c>
      <c r="K31">
        <f t="shared" si="8"/>
        <v>0</v>
      </c>
      <c r="L31">
        <f t="shared" si="8"/>
        <v>0</v>
      </c>
      <c r="M31">
        <f t="shared" si="8"/>
        <v>0</v>
      </c>
      <c r="N31">
        <f t="shared" si="8"/>
        <v>0</v>
      </c>
      <c r="O31">
        <f t="shared" si="8"/>
        <v>0</v>
      </c>
      <c r="P31">
        <f t="shared" si="8"/>
        <v>0</v>
      </c>
      <c r="Q31">
        <f t="shared" si="8"/>
        <v>0</v>
      </c>
      <c r="R31">
        <f t="shared" si="8"/>
        <v>0</v>
      </c>
      <c r="S31">
        <f t="shared" si="8"/>
        <v>0</v>
      </c>
      <c r="T31">
        <f t="shared" si="8"/>
        <v>0</v>
      </c>
      <c r="U31">
        <f t="shared" si="8"/>
        <v>0</v>
      </c>
      <c r="V31">
        <f t="shared" si="8"/>
        <v>0</v>
      </c>
      <c r="W31">
        <f t="shared" si="8"/>
        <v>0</v>
      </c>
      <c r="X31">
        <f t="shared" si="8"/>
        <v>0</v>
      </c>
      <c r="Y31">
        <f t="shared" si="8"/>
        <v>0</v>
      </c>
      <c r="Z31">
        <f t="shared" si="8"/>
        <v>0</v>
      </c>
      <c r="AA31">
        <f t="shared" si="8"/>
        <v>0</v>
      </c>
      <c r="AB31">
        <f t="shared" si="8"/>
        <v>0</v>
      </c>
      <c r="AC31">
        <f t="shared" si="8"/>
        <v>0</v>
      </c>
      <c r="AD31">
        <f t="shared" si="8"/>
        <v>0</v>
      </c>
      <c r="AE31">
        <f t="shared" si="8"/>
        <v>0</v>
      </c>
      <c r="AF31">
        <f t="shared" si="8"/>
        <v>0</v>
      </c>
      <c r="AG31">
        <f t="shared" si="8"/>
        <v>0</v>
      </c>
      <c r="AH31">
        <f t="shared" si="8"/>
        <v>0</v>
      </c>
      <c r="AI31">
        <f t="shared" si="8"/>
        <v>0</v>
      </c>
      <c r="AJ31">
        <f t="shared" si="8"/>
        <v>0</v>
      </c>
      <c r="AK31">
        <f t="shared" si="8"/>
        <v>0</v>
      </c>
      <c r="AL31">
        <f t="shared" si="8"/>
        <v>0</v>
      </c>
      <c r="AM31">
        <f t="shared" si="8"/>
        <v>0</v>
      </c>
      <c r="AN31">
        <f t="shared" si="8"/>
        <v>0</v>
      </c>
      <c r="AO31">
        <f t="shared" si="8"/>
        <v>0</v>
      </c>
      <c r="AP31">
        <f t="shared" si="8"/>
        <v>0</v>
      </c>
      <c r="AQ31">
        <f t="shared" si="8"/>
        <v>0</v>
      </c>
      <c r="AR31">
        <f t="shared" si="8"/>
        <v>0</v>
      </c>
      <c r="AS31">
        <f t="shared" si="8"/>
        <v>0</v>
      </c>
      <c r="AT31">
        <f t="shared" si="8"/>
        <v>0</v>
      </c>
      <c r="AU31">
        <f t="shared" si="8"/>
        <v>0</v>
      </c>
      <c r="AV31">
        <f t="shared" si="8"/>
        <v>0</v>
      </c>
      <c r="AW31">
        <f t="shared" si="8"/>
        <v>0</v>
      </c>
      <c r="AX31">
        <f t="shared" si="8"/>
        <v>0</v>
      </c>
    </row>
    <row r="33" spans="1:4">
      <c r="A33" t="s">
        <v>77</v>
      </c>
      <c r="B33" t="s">
        <v>78</v>
      </c>
      <c r="C33" t="s">
        <v>79</v>
      </c>
      <c r="D33" t="s">
        <v>80</v>
      </c>
    </row>
    <row r="34" spans="1:4">
      <c r="A34" t="s">
        <v>73</v>
      </c>
      <c r="B34">
        <f>SUM(B28:AX28)</f>
        <v>14</v>
      </c>
      <c r="C34">
        <f>SUMPRODUCT($B$14:$AX$14,B28:AX28)</f>
        <v>128471221.92365982</v>
      </c>
      <c r="D34" s="3">
        <f t="shared" ref="D34:D37" si="9">C34/B34</f>
        <v>9176515.8516899869</v>
      </c>
    </row>
    <row r="35" spans="1:4">
      <c r="A35" t="s">
        <v>74</v>
      </c>
      <c r="B35">
        <f t="shared" ref="B35:B37" si="10">SUM(B29:AX29)</f>
        <v>21</v>
      </c>
      <c r="C35">
        <f t="shared" ref="C35:C37" si="11">SUMPRODUCT($B$14:$AX$14,B29:AX29)</f>
        <v>201138223.74730003</v>
      </c>
      <c r="D35" s="3">
        <f t="shared" si="9"/>
        <v>9578010.6546333339</v>
      </c>
    </row>
    <row r="36" spans="1:4">
      <c r="A36" t="s">
        <v>75</v>
      </c>
      <c r="B36">
        <f t="shared" si="10"/>
        <v>14</v>
      </c>
      <c r="C36">
        <f t="shared" si="11"/>
        <v>145272213.83399817</v>
      </c>
      <c r="D36" s="3">
        <f t="shared" si="9"/>
        <v>10376586.702428441</v>
      </c>
    </row>
    <row r="37" spans="1:4">
      <c r="A37" t="s">
        <v>76</v>
      </c>
      <c r="B37">
        <f t="shared" si="10"/>
        <v>0</v>
      </c>
      <c r="C37">
        <f t="shared" si="11"/>
        <v>0</v>
      </c>
      <c r="D37" s="3" t="e">
        <f t="shared" si="9"/>
        <v>#DIV/0!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ff52b7-d823-4c4d-a731-a389a3679543">
      <Terms xmlns="http://schemas.microsoft.com/office/infopath/2007/PartnerControls"/>
    </lcf76f155ced4ddcb4097134ff3c332f>
    <TaxCatchAll xmlns="7eac3473-afb6-4782-ba55-074fa82562b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10938A7DE30742BE349158FCB83C08" ma:contentTypeVersion="19" ma:contentTypeDescription="Create a new document." ma:contentTypeScope="" ma:versionID="ef6d36b5b42a5490ef0626a31ce31ccd">
  <xsd:schema xmlns:xsd="http://www.w3.org/2001/XMLSchema" xmlns:xs="http://www.w3.org/2001/XMLSchema" xmlns:p="http://schemas.microsoft.com/office/2006/metadata/properties" xmlns:ns1="http://schemas.microsoft.com/sharepoint/v3" xmlns:ns2="7eac3473-afb6-4782-ba55-074fa82562bd" xmlns:ns3="4bff52b7-d823-4c4d-a731-a389a3679543" xmlns:ns4="3b537967-f271-4a71-ae3c-3b975b27da4d" targetNamespace="http://schemas.microsoft.com/office/2006/metadata/properties" ma:root="true" ma:fieldsID="ab41877978d8bed80edf2b91592a1968" ns1:_="" ns2:_="" ns3:_="" ns4:_="">
    <xsd:import namespace="http://schemas.microsoft.com/sharepoint/v3"/>
    <xsd:import namespace="7eac3473-afb6-4782-ba55-074fa82562bd"/>
    <xsd:import namespace="4bff52b7-d823-4c4d-a731-a389a3679543"/>
    <xsd:import namespace="3b537967-f271-4a71-ae3c-3b975b27da4d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4:SharedWithUsers" minOccurs="0"/>
                <xsd:element ref="ns4:SharedWithDetails" minOccurs="0"/>
                <xsd:element ref="ns3:MediaServiceSearchProperties" minOccurs="0"/>
                <xsd:element ref="ns3:lcf76f155ced4ddcb4097134ff3c332f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c3473-afb6-4782-ba55-074fa82562bd" elementFormDefault="qualified">
    <xsd:import namespace="http://schemas.microsoft.com/office/2006/documentManagement/types"/>
    <xsd:import namespace="http://schemas.microsoft.com/office/infopath/2007/PartnerControls"/>
    <xsd:element name="TaxCatchAll" ma:index="4" nillable="true" ma:displayName="Taxonomy Catch All Column" ma:hidden="true" ma:list="{d806930a-1233-4e41-a030-2b98c4920d9b}" ma:internalName="TaxCatchAll" ma:showField="CatchAllData" ma:web="3b537967-f271-4a71-ae3c-3b975b27da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5" nillable="true" ma:displayName="Taxonomy Catch All Column1" ma:hidden="true" ma:list="{d806930a-1233-4e41-a030-2b98c4920d9b}" ma:internalName="TaxCatchAllLabel" ma:readOnly="true" ma:showField="CatchAllDataLabel" ma:web="3b537967-f271-4a71-ae3c-3b975b27da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ff52b7-d823-4c4d-a731-a389a36795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2bbd033-7c10-4bc6-94c7-41b14f0b88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37967-f271-4a71-ae3c-3b975b27da4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12bbd033-7c10-4bc6-94c7-41b14f0b8859" ContentTypeId="0x0101" PreviousValue="false"/>
</file>

<file path=customXml/itemProps1.xml><?xml version="1.0" encoding="utf-8"?>
<ds:datastoreItem xmlns:ds="http://schemas.openxmlformats.org/officeDocument/2006/customXml" ds:itemID="{3D23650D-73CC-4835-AB89-7B055781F9A7}"/>
</file>

<file path=customXml/itemProps2.xml><?xml version="1.0" encoding="utf-8"?>
<ds:datastoreItem xmlns:ds="http://schemas.openxmlformats.org/officeDocument/2006/customXml" ds:itemID="{67AFDE60-790A-4A9D-9BDC-91308C29CA54}"/>
</file>

<file path=customXml/itemProps3.xml><?xml version="1.0" encoding="utf-8"?>
<ds:datastoreItem xmlns:ds="http://schemas.openxmlformats.org/officeDocument/2006/customXml" ds:itemID="{815AF414-FDC8-49F4-9A43-6EAD402B4769}"/>
</file>

<file path=customXml/itemProps4.xml><?xml version="1.0" encoding="utf-8"?>
<ds:datastoreItem xmlns:ds="http://schemas.openxmlformats.org/officeDocument/2006/customXml" ds:itemID="{9625E032-4AF2-4EDE-992C-BA57C679EC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2026-09-02T01:51:38Z</dcterms:created>
  <dcterms:modified xsi:type="dcterms:W3CDTF">2026-09-22T03:26:34Z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0x010100E010938A7DE30742BE349158FCB83C08</vt:lpwstr>
  </property>
</Properties>
</file>